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hidePivotFieldList="1"/>
  <mc:AlternateContent xmlns:mc="http://schemas.openxmlformats.org/markup-compatibility/2006">
    <mc:Choice Requires="x15">
      <x15ac:absPath xmlns:x15ac="http://schemas.microsoft.com/office/spreadsheetml/2010/11/ac" url="C:\Users\USER\OneDrive\Desktop\"/>
    </mc:Choice>
  </mc:AlternateContent>
  <xr:revisionPtr revIDLastSave="23" documentId="8_{529C817F-1245-44EC-8A89-0173EFC5582E}" xr6:coauthVersionLast="36" xr6:coauthVersionMax="47" xr10:uidLastSave="{FD7FC6AC-D758-4FCA-BB21-AF542E3D9251}"/>
  <bookViews>
    <workbookView xWindow="-110" yWindow="-110" windowWidth="23260" windowHeight="12460" activeTab="5" xr2:uid="{80B590A0-26F3-4C00-B82F-AB5BC9851E2A}"/>
  </bookViews>
  <sheets>
    <sheet name="Sheet1" sheetId="1" r:id="rId1"/>
    <sheet name="Dashboard" sheetId="2" r:id="rId2"/>
    <sheet name="Pivots" sheetId="3" r:id="rId3"/>
    <sheet name="Product menu" sheetId="7" r:id="rId4"/>
    <sheet name="Sales Mans" sheetId="8" r:id="rId5"/>
    <sheet name="About" sheetId="9"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3" l="1"/>
  <c r="C38" i="3"/>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<sst xmlns="http://schemas.openxmlformats.org/spreadsheetml/2006/main" count="918" uniqueCount="42">
  <si>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</si>
  <si>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</si>
  <si>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</si>
  <si>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</si>
  <si>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</si>
  <si>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</si>
  <si>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</si>
  <si>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</si>
  <si>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</si>
  <si>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</si>
  <si>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</si>
  <si>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</si>
  <si>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</si>
  <si>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</si>
  <si>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</si>
  <si>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</si>
  <si>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</si>
  <si>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</si>
  <si>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</si>
  <si>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</si>
  <si>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</si>
  <si>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</si>
  <si>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</si>
  <si>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</si>
  <si>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</si>
  <si>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</si>
  <si>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</si>
  <si>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</si>
  <si>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Sum of Amount</t>
  </si>
  <si>
    <t>Feb</t>
  </si>
  <si>
    <t>Mar</t>
  </si>
  <si>
    <t>Apr</t>
  </si>
  <si>
    <t>May</t>
  </si>
  <si>
    <t>Jun</t>
  </si>
  <si>
    <t>Jul</t>
  </si>
  <si>
    <t>Aug</t>
  </si>
  <si>
    <t>Sep</t>
  </si>
  <si>
    <t>Oct</t>
  </si>
  <si>
    <t>Nov</t>
  </si>
  <si>
    <t>Dec</t>
  </si>
  <si>
    <t>Count of Amount</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</si>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</sst>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Tw Cen MT"/>
      <family val="2"/>
      <scheme val="minor"/>
    </font>
    <font>
      <b/>
      <sz val="14"/>
      <color rgb="FFFF0000"/>
      <name val="Tw Cen MT"/>
      <family val="2"/>
      <scheme val="minor"/>
    </font>
    <font>
      <b/>
      <sz val="12"/>
      <color theme="1"/>
      <name val="Tw Cen MT"/>
      <family val="2"/>
      <scheme val="minor"/>
    </font>
    <font>
      <sz val="11"/>
      <color theme="1"/>
      <name val="Tw Cen MT"/>
      <family val="2"/>
      <scheme val="minor"/>
    </font>
    <font>
      <b/>
      <sz val="11"/>
      <color theme="1"/>
      <name val="Tw Cen MT"/>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0" fontId="4" fillId="3" borderId="3" xfId="0" applyFont="1" applyFill="1" applyBorder="1"/>
    <xf numFmtId="164" fontId="0" fillId="0" borderId="0" xfId="1" applyNumberFormat="1" applyFont="1"/>
    <xf numFmtId="10" fontId="0" fillId="0" borderId="0" xfId="0" applyNumberFormat="1"/>
  </cellXfs>
  <cellStyles count="2">
    <cellStyle name="Comma" xfId="1" builtinId="3"/>
    <cellStyle name="Normal" xfId="0" builtinId="0"/>
  </cellStyles>
  <dxfs count="0"/>
  <tableStyles count="0" defaultTableStyle="TableStyleMedium2" defaultPivotStyle="PivotStyleLight16"/>
  <colors>
    <mruColors>
      <color rgb="FFF7EA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c:name>
    <c:fmtId val="1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5">
                <a:lumMod val="50000"/>
              </a:schemeClr>
            </a:solidFill>
            <a:round/>
          </a:ln>
          <a:effectLst/>
        </c:spPr>
        <c:marker>
          <c:symbol val="none"/>
        </c:marker>
      </c:pivotFmt>
      <c:pivotFmt>
        <c:idx val="3"/>
        <c:spPr>
          <a:ln w="28575" cap="rnd">
            <a:solidFill>
              <a:schemeClr val="accent5">
                <a:lumMod val="50000"/>
              </a:schemeClr>
            </a:solidFill>
            <a:round/>
          </a:ln>
          <a:effectLst/>
        </c:spPr>
        <c:marker>
          <c:symbol val="none"/>
        </c:marker>
      </c:pivotFmt>
      <c:pivotFmt>
        <c:idx val="4"/>
        <c:spPr>
          <a:ln w="28575" cap="rnd">
            <a:solidFill>
              <a:schemeClr val="accent5">
                <a:lumMod val="50000"/>
              </a:schemeClr>
            </a:solidFill>
            <a:round/>
          </a:ln>
          <a:effectLst/>
        </c:spPr>
        <c:marker>
          <c:symbol val="none"/>
        </c:marker>
      </c:pivotFmt>
    </c:pivotFmts>
    <c:plotArea>
      <c:layout/>
      <c:lineChart>
        <c:grouping val="stacked"/>
        <c:varyColors val="0"/>
        <c:ser>
          <c:idx val="0"/>
          <c:order val="0"/>
          <c:tx>
            <c:strRef>
              <c:f>Pivots!$B$1</c:f>
              <c:strCache>
                <c:ptCount val="1"/>
                <c:pt idx="0">
                  <c:v>Total</c:v>
                </c:pt>
              </c:strCache>
            </c:strRef>
          </c:tx>
          <c:spPr>
            <a:ln w="28575" cap="rnd">
              <a:solidFill>
                <a:schemeClr val="accent5">
                  <a:lumMod val="50000"/>
                </a:schemeClr>
              </a:solidFill>
              <a:round/>
            </a:ln>
            <a:effectLst/>
          </c:spPr>
          <c:marker>
            <c:symbol val="none"/>
          </c:marker>
          <c:dPt>
            <c:idx val="2"/>
            <c:marker>
              <c:symbol val="none"/>
            </c:marker>
            <c:bubble3D val="0"/>
            <c:extLst>
              <c:ext xmlns:c16="http://schemas.microsoft.com/office/drawing/2014/chart" uri="{C3380CC4-5D6E-409C-BE32-E72D297353CC}">
                <c16:uniqueId val="{00000000-2E42-43CE-9A0B-3E1C174118AB}"/>
              </c:ext>
            </c:extLst>
          </c:dPt>
          <c:cat>
            <c:strRef>
              <c:f>Pivots!$A$2:$A$14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570D-423E-95A3-55EDCA57CE4C}"/>
            </c:ext>
          </c:extLst>
        </c:ser>
        <c:dLbls>
          <c:showLegendKey val="0"/>
          <c:showVal val="0"/>
          <c:showCatName val="0"/>
          <c:showSerName val="0"/>
          <c:showPercent val="0"/>
          <c:showBubbleSize val="0"/>
        </c:dLbls>
        <c:smooth val="0"/>
        <c:axId val="1747930687"/>
        <c:axId val="1894837439"/>
      </c:lineChart>
      <c:catAx>
        <c:axId val="1747930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37439"/>
        <c:crosses val="autoZero"/>
        <c:auto val="1"/>
        <c:lblAlgn val="ctr"/>
        <c:lblOffset val="100"/>
        <c:noMultiLvlLbl val="0"/>
      </c:catAx>
      <c:valAx>
        <c:axId val="18948374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9306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File.xlsx]Pivots!PivotTable4</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Pivots!$B$27</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Pivots!$A$28:$A$34</c:f>
              <c:strCache>
                <c:ptCount val="6"/>
                <c:pt idx="0">
                  <c:v>4K LED TV's</c:v>
                </c:pt>
                <c:pt idx="1">
                  <c:v>Furniture</c:v>
                </c:pt>
                <c:pt idx="2">
                  <c:v>Laptops</c:v>
                </c:pt>
                <c:pt idx="3">
                  <c:v>LED TV's</c:v>
                </c:pt>
                <c:pt idx="4">
                  <c:v>Mobiles</c:v>
                </c:pt>
                <c:pt idx="5">
                  <c:v>Speakers</c:v>
                </c:pt>
              </c:strCache>
            </c:strRef>
          </c:cat>
          <c:val>
            <c:numRef>
              <c:f>Pivots!$B$28:$B$34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648C-48B5-8718-7F2B9DF3C07F}"/>
            </c:ext>
          </c:extLst>
        </c:ser>
        <c:dLbls>
          <c:showLegendKey val="0"/>
          <c:showVal val="0"/>
          <c:showCatName val="0"/>
          <c:showSerName val="0"/>
          <c:showPercent val="0"/>
          <c:showBubbleSize val="0"/>
        </c:dLbls>
        <c:gapWidth val="39"/>
        <c:axId val="1736489919"/>
        <c:axId val="1967869055"/>
      </c:barChart>
      <c:catAx>
        <c:axId val="173648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69055"/>
        <c:crosses val="autoZero"/>
        <c:auto val="1"/>
        <c:lblAlgn val="ctr"/>
        <c:lblOffset val="100"/>
        <c:noMultiLvlLbl val="0"/>
      </c:catAx>
      <c:valAx>
        <c:axId val="1967869055"/>
        <c:scaling>
          <c:orientation val="minMax"/>
        </c:scaling>
        <c:delete val="1"/>
        <c:axPos val="b"/>
        <c:numFmt formatCode="0.00%" sourceLinked="1"/>
        <c:majorTickMark val="none"/>
        <c:minorTickMark val="none"/>
        <c:tickLblPos val="nextTo"/>
        <c:crossAx val="173648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2015604681404422E-3"/>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7680420149671754E-17"/>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2900749593827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007802340702211E-3"/>
              <c:y val="-0.21374032954238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2015604681403468E-3"/>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072168059868702E-16"/>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2015604681404422E-3"/>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7680420149671754E-17"/>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2900749593827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6007802340702211E-3"/>
              <c:y val="-0.21374032954238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2015604681403468E-3"/>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9072168059868702E-16"/>
              <c:y val="-0.2519082455320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40000"/>
                      <a:lumOff val="6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pivotFmt>
      <c:pivotFmt>
        <c:idx val="16"/>
        <c:spPr>
          <a:solidFill>
            <a:srgbClr val="002060"/>
          </a:solidFill>
          <a:ln>
            <a:noFill/>
          </a:ln>
          <a:effectLst/>
        </c:spPr>
      </c:pivotFmt>
      <c:pivotFmt>
        <c:idx val="17"/>
        <c:spPr>
          <a:solidFill>
            <a:srgbClr val="002060"/>
          </a:solidFill>
          <a:ln>
            <a:noFill/>
          </a:ln>
          <a:effectLst/>
        </c:spPr>
      </c:pivotFmt>
      <c:pivotFmt>
        <c:idx val="18"/>
        <c:spPr>
          <a:solidFill>
            <a:srgbClr val="002060"/>
          </a:solidFill>
          <a:ln>
            <a:noFill/>
          </a:ln>
          <a:effectLst/>
        </c:spPr>
      </c:pivotFmt>
      <c:pivotFmt>
        <c:idx val="19"/>
        <c:spPr>
          <a:solidFill>
            <a:srgbClr val="002060"/>
          </a:solidFill>
          <a:ln>
            <a:noFill/>
          </a:ln>
          <a:effectLst/>
        </c:spPr>
      </c:pivotFmt>
      <c:pivotFmt>
        <c:idx val="20"/>
        <c:spPr>
          <a:solidFill>
            <a:srgbClr val="002060"/>
          </a:solidFill>
          <a:ln>
            <a:noFill/>
          </a:ln>
          <a:effectLst/>
        </c:spPr>
      </c:pivotFmt>
    </c:pivotFmts>
    <c:plotArea>
      <c:layout/>
      <c:barChart>
        <c:barDir val="col"/>
        <c:grouping val="stacked"/>
        <c:varyColors val="0"/>
        <c:ser>
          <c:idx val="0"/>
          <c:order val="0"/>
          <c:tx>
            <c:strRef>
              <c:f>Pivots!$B$17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40000"/>
                        <a:lumOff val="6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Pivots!$A$18:$A$24</c:f>
              <c:strCache>
                <c:ptCount val="6"/>
                <c:pt idx="0">
                  <c:v>Bapatla</c:v>
                </c:pt>
                <c:pt idx="1">
                  <c:v>Chirala</c:v>
                </c:pt>
                <c:pt idx="2">
                  <c:v>Guntur</c:v>
                </c:pt>
                <c:pt idx="3">
                  <c:v>Ongole</c:v>
                </c:pt>
                <c:pt idx="4">
                  <c:v>Tenali</c:v>
                </c:pt>
                <c:pt idx="5">
                  <c:v>Vijayawada</c:v>
                </c:pt>
              </c:strCache>
            </c:strRef>
          </c:cat>
          <c:val>
            <c:numRef>
              <c:f>Pivots!$B$18:$B$24</c:f>
              <c:numCache>
                <c:formatCode>0.00%</c:formatCode>
                <c:ptCount val="6"/>
                <c:pt idx="0">
                  <c:v>0.13520112073004681</c:v>
                </c:pt>
                <c:pt idx="1">
                  <c:v>0.14255913531168918</c:v>
                </c:pt>
                <c:pt idx="2">
                  <c:v>0.16153632790138367</c:v>
                </c:pt>
                <c:pt idx="3">
                  <c:v>8.7915788557333965E-2</c:v>
                </c:pt>
                <c:pt idx="4">
                  <c:v>0.34577799580774815</c:v>
                </c:pt>
                <c:pt idx="5">
                  <c:v>0.12700963169179827</c:v>
                </c:pt>
              </c:numCache>
            </c:numRef>
          </c:val>
          <c:extLst>
            <c:ext xmlns:c16="http://schemas.microsoft.com/office/drawing/2014/chart" uri="{C3380CC4-5D6E-409C-BE32-E72D297353CC}">
              <c16:uniqueId val="{00000006-A3F7-4150-86ED-2FE9DB1BB692}"/>
            </c:ext>
          </c:extLst>
        </c:ser>
        <c:dLbls>
          <c:showLegendKey val="0"/>
          <c:showVal val="0"/>
          <c:showCatName val="0"/>
          <c:showSerName val="0"/>
          <c:showPercent val="0"/>
          <c:showBubbleSize val="0"/>
        </c:dLbls>
        <c:gapWidth val="35"/>
        <c:overlap val="100"/>
        <c:axId val="1908042223"/>
        <c:axId val="1745683247"/>
      </c:barChart>
      <c:catAx>
        <c:axId val="190804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3247"/>
        <c:crosses val="autoZero"/>
        <c:auto val="1"/>
        <c:lblAlgn val="ctr"/>
        <c:lblOffset val="100"/>
        <c:noMultiLvlLbl val="0"/>
      </c:catAx>
      <c:valAx>
        <c:axId val="1745683247"/>
        <c:scaling>
          <c:orientation val="minMax"/>
        </c:scaling>
        <c:delete val="1"/>
        <c:axPos val="l"/>
        <c:numFmt formatCode="0.00%" sourceLinked="1"/>
        <c:majorTickMark val="out"/>
        <c:minorTickMark val="none"/>
        <c:tickLblPos val="nextTo"/>
        <c:crossAx val="190804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c:name>
    <c:fmtId val="8"/>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6525672984344295"/>
          <c:y val="2.7777777777777776E-2"/>
          <c:w val="0.79119218137933767"/>
          <c:h val="0.8416746864975212"/>
        </c:manualLayout>
      </c:layout>
      <c:lineChart>
        <c:grouping val="stacked"/>
        <c:varyColors val="0"/>
        <c:ser>
          <c:idx val="0"/>
          <c:order val="0"/>
          <c:tx>
            <c:strRef>
              <c:f>Pivots!$B$1</c:f>
              <c:strCache>
                <c:ptCount val="1"/>
                <c:pt idx="0">
                  <c:v>Total</c:v>
                </c:pt>
              </c:strCache>
            </c:strRef>
          </c:tx>
          <c:spPr>
            <a:ln w="28575" cap="rnd">
              <a:solidFill>
                <a:schemeClr val="accent1"/>
              </a:solidFill>
              <a:round/>
            </a:ln>
            <a:effectLst/>
          </c:spPr>
          <c:marker>
            <c:symbol val="none"/>
          </c:marker>
          <c:cat>
            <c:strRef>
              <c:f>Pivots!$A$2:$A$14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B5DC-443E-9231-41980CBFE288}"/>
            </c:ext>
          </c:extLst>
        </c:ser>
        <c:dLbls>
          <c:showLegendKey val="0"/>
          <c:showVal val="0"/>
          <c:showCatName val="0"/>
          <c:showSerName val="0"/>
          <c:showPercent val="0"/>
          <c:showBubbleSize val="0"/>
        </c:dLbls>
        <c:smooth val="0"/>
        <c:axId val="1747930687"/>
        <c:axId val="1894837439"/>
      </c:lineChart>
      <c:catAx>
        <c:axId val="174793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37439"/>
        <c:crosses val="autoZero"/>
        <c:auto val="1"/>
        <c:lblAlgn val="ctr"/>
        <c:lblOffset val="100"/>
        <c:noMultiLvlLbl val="0"/>
      </c:catAx>
      <c:valAx>
        <c:axId val="189483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9306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920105037417938E-17"/>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7680420149671754E-17"/>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403120936280884E-2"/>
              <c:y val="-0.427480659084775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2015604681403468E-3"/>
              <c:y val="-0.38931274309506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2015604681405377E-3"/>
              <c:y val="-0.427480659084775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8B74-4CFA-8523-7E69E3640298}"/>
              </c:ext>
            </c:extLst>
          </c:dPt>
          <c:dPt>
            <c:idx val="1"/>
            <c:invertIfNegative val="0"/>
            <c:bubble3D val="0"/>
            <c:extLst>
              <c:ext xmlns:c16="http://schemas.microsoft.com/office/drawing/2014/chart" uri="{C3380CC4-5D6E-409C-BE32-E72D297353CC}">
                <c16:uniqueId val="{00000002-8B74-4CFA-8523-7E69E3640298}"/>
              </c:ext>
            </c:extLst>
          </c:dPt>
          <c:dPt>
            <c:idx val="2"/>
            <c:invertIfNegative val="0"/>
            <c:bubble3D val="0"/>
            <c:extLst>
              <c:ext xmlns:c16="http://schemas.microsoft.com/office/drawing/2014/chart" uri="{C3380CC4-5D6E-409C-BE32-E72D297353CC}">
                <c16:uniqueId val="{00000003-8B74-4CFA-8523-7E69E3640298}"/>
              </c:ext>
            </c:extLst>
          </c:dPt>
          <c:dPt>
            <c:idx val="3"/>
            <c:invertIfNegative val="0"/>
            <c:bubble3D val="0"/>
            <c:extLst>
              <c:ext xmlns:c16="http://schemas.microsoft.com/office/drawing/2014/chart" uri="{C3380CC4-5D6E-409C-BE32-E72D297353CC}">
                <c16:uniqueId val="{00000004-8B74-4CFA-8523-7E69E3640298}"/>
              </c:ext>
            </c:extLst>
          </c:dPt>
          <c:dPt>
            <c:idx val="4"/>
            <c:invertIfNegative val="0"/>
            <c:bubble3D val="0"/>
            <c:extLst>
              <c:ext xmlns:c16="http://schemas.microsoft.com/office/drawing/2014/chart" uri="{C3380CC4-5D6E-409C-BE32-E72D297353CC}">
                <c16:uniqueId val="{00000005-8B74-4CFA-8523-7E69E3640298}"/>
              </c:ext>
            </c:extLst>
          </c:dPt>
          <c:dPt>
            <c:idx val="5"/>
            <c:invertIfNegative val="0"/>
            <c:bubble3D val="0"/>
            <c:extLst>
              <c:ext xmlns:c16="http://schemas.microsoft.com/office/drawing/2014/chart" uri="{C3380CC4-5D6E-409C-BE32-E72D297353CC}">
                <c16:uniqueId val="{00000006-8B74-4CFA-8523-7E69E3640298}"/>
              </c:ext>
            </c:extLst>
          </c:dPt>
          <c:dLbls>
            <c:dLbl>
              <c:idx val="0"/>
              <c:layout>
                <c:manualLayout>
                  <c:x val="-1.1920105037417938E-17"/>
                  <c:y val="-0.38931274309506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74-4CFA-8523-7E69E3640298}"/>
                </c:ext>
              </c:extLst>
            </c:dLbl>
            <c:dLbl>
              <c:idx val="1"/>
              <c:layout>
                <c:manualLayout>
                  <c:x val="-4.7680420149671754E-17"/>
                  <c:y val="-0.38931274309506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74-4CFA-8523-7E69E3640298}"/>
                </c:ext>
              </c:extLst>
            </c:dLbl>
            <c:dLbl>
              <c:idx val="2"/>
              <c:layout>
                <c:manualLayout>
                  <c:x val="0"/>
                  <c:y val="-0.38931274309506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74-4CFA-8523-7E69E3640298}"/>
                </c:ext>
              </c:extLst>
            </c:dLbl>
            <c:dLbl>
              <c:idx val="3"/>
              <c:layout>
                <c:manualLayout>
                  <c:x val="-1.0403120936280884E-2"/>
                  <c:y val="-0.427480659084775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74-4CFA-8523-7E69E3640298}"/>
                </c:ext>
              </c:extLst>
            </c:dLbl>
            <c:dLbl>
              <c:idx val="4"/>
              <c:layout>
                <c:manualLayout>
                  <c:x val="5.2015604681403468E-3"/>
                  <c:y val="-0.38931274309506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74-4CFA-8523-7E69E3640298}"/>
                </c:ext>
              </c:extLst>
            </c:dLbl>
            <c:dLbl>
              <c:idx val="5"/>
              <c:layout>
                <c:manualLayout>
                  <c:x val="-5.2015604681405377E-3"/>
                  <c:y val="-0.427480659084775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74-4CFA-8523-7E69E36402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Pivots!$A$18:$A$24</c:f>
              <c:strCache>
                <c:ptCount val="6"/>
                <c:pt idx="0">
                  <c:v>Bapatla</c:v>
                </c:pt>
                <c:pt idx="1">
                  <c:v>Chirala</c:v>
                </c:pt>
                <c:pt idx="2">
                  <c:v>Guntur</c:v>
                </c:pt>
                <c:pt idx="3">
                  <c:v>Ongole</c:v>
                </c:pt>
                <c:pt idx="4">
                  <c:v>Tenali</c:v>
                </c:pt>
                <c:pt idx="5">
                  <c:v>Vijayawada</c:v>
                </c:pt>
              </c:strCache>
            </c:strRef>
          </c:cat>
          <c:val>
            <c:numRef>
              <c:f>Pivots!$B$18:$B$24</c:f>
              <c:numCache>
                <c:formatCode>0.00%</c:formatCode>
                <c:ptCount val="6"/>
                <c:pt idx="0">
                  <c:v>0.13520112073004681</c:v>
                </c:pt>
                <c:pt idx="1">
                  <c:v>0.14255913531168918</c:v>
                </c:pt>
                <c:pt idx="2">
                  <c:v>0.16153632790138367</c:v>
                </c:pt>
                <c:pt idx="3">
                  <c:v>8.7915788557333965E-2</c:v>
                </c:pt>
                <c:pt idx="4">
                  <c:v>0.34577799580774815</c:v>
                </c:pt>
                <c:pt idx="5">
                  <c:v>0.12700963169179827</c:v>
                </c:pt>
              </c:numCache>
            </c:numRef>
          </c:val>
          <c:extLst>
            <c:ext xmlns:c16="http://schemas.microsoft.com/office/drawing/2014/chart" uri="{C3380CC4-5D6E-409C-BE32-E72D297353CC}">
              <c16:uniqueId val="{00000000-8B74-4CFA-8523-7E69E3640298}"/>
            </c:ext>
          </c:extLst>
        </c:ser>
        <c:dLbls>
          <c:showLegendKey val="0"/>
          <c:showVal val="0"/>
          <c:showCatName val="0"/>
          <c:showSerName val="0"/>
          <c:showPercent val="0"/>
          <c:showBubbleSize val="0"/>
        </c:dLbls>
        <c:gapWidth val="150"/>
        <c:overlap val="100"/>
        <c:axId val="1908042223"/>
        <c:axId val="1745683247"/>
      </c:barChart>
      <c:catAx>
        <c:axId val="190804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83247"/>
        <c:crosses val="autoZero"/>
        <c:auto val="1"/>
        <c:lblAlgn val="ctr"/>
        <c:lblOffset val="100"/>
        <c:noMultiLvlLbl val="0"/>
      </c:catAx>
      <c:valAx>
        <c:axId val="1745683247"/>
        <c:scaling>
          <c:orientation val="minMax"/>
        </c:scaling>
        <c:delete val="1"/>
        <c:axPos val="l"/>
        <c:numFmt formatCode="0.00%" sourceLinked="1"/>
        <c:majorTickMark val="out"/>
        <c:minorTickMark val="none"/>
        <c:tickLblPos val="nextTo"/>
        <c:crossAx val="190804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Pivots!$A$28:$A$34</c:f>
              <c:strCache>
                <c:ptCount val="6"/>
                <c:pt idx="0">
                  <c:v>4K LED TV's</c:v>
                </c:pt>
                <c:pt idx="1">
                  <c:v>Furniture</c:v>
                </c:pt>
                <c:pt idx="2">
                  <c:v>Laptops</c:v>
                </c:pt>
                <c:pt idx="3">
                  <c:v>LED TV's</c:v>
                </c:pt>
                <c:pt idx="4">
                  <c:v>Mobiles</c:v>
                </c:pt>
                <c:pt idx="5">
                  <c:v>Speakers</c:v>
                </c:pt>
              </c:strCache>
            </c:strRef>
          </c:cat>
          <c:val>
            <c:numRef>
              <c:f>Pivots!$B$28:$B$34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DC1E-48E1-9754-7A0CEAAE11A1}"/>
            </c:ext>
          </c:extLst>
        </c:ser>
        <c:dLbls>
          <c:showLegendKey val="0"/>
          <c:showVal val="0"/>
          <c:showCatName val="0"/>
          <c:showSerName val="0"/>
          <c:showPercent val="0"/>
          <c:showBubbleSize val="0"/>
        </c:dLbls>
        <c:gapWidth val="182"/>
        <c:axId val="1736489919"/>
        <c:axId val="1967869055"/>
      </c:barChart>
      <c:catAx>
        <c:axId val="173648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69055"/>
        <c:crosses val="autoZero"/>
        <c:auto val="1"/>
        <c:lblAlgn val="ctr"/>
        <c:lblOffset val="100"/>
        <c:noMultiLvlLbl val="0"/>
      </c:catAx>
      <c:valAx>
        <c:axId val="1967869055"/>
        <c:scaling>
          <c:orientation val="minMax"/>
        </c:scaling>
        <c:delete val="1"/>
        <c:axPos val="b"/>
        <c:numFmt formatCode="0.00%" sourceLinked="1"/>
        <c:majorTickMark val="none"/>
        <c:minorTickMark val="none"/>
        <c:tickLblPos val="nextTo"/>
        <c:crossAx val="173648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Pivots!$A$45:$A$48</c:f>
              <c:strCache>
                <c:ptCount val="3"/>
                <c:pt idx="0">
                  <c:v>Speakers</c:v>
                </c:pt>
                <c:pt idx="1">
                  <c:v>4K LED TV's</c:v>
                </c:pt>
                <c:pt idx="2">
                  <c:v>Laptops</c:v>
                </c:pt>
              </c:strCache>
            </c:strRef>
          </c:cat>
          <c:val>
            <c:numRef>
              <c:f>Pivots!$B$45:$B$48</c:f>
              <c:numCache>
                <c:formatCode>General</c:formatCode>
                <c:ptCount val="3"/>
                <c:pt idx="0">
                  <c:v>1457</c:v>
                </c:pt>
                <c:pt idx="1">
                  <c:v>1503</c:v>
                </c:pt>
                <c:pt idx="2">
                  <c:v>1615</c:v>
                </c:pt>
              </c:numCache>
            </c:numRef>
          </c:val>
          <c:extLst>
            <c:ext xmlns:c16="http://schemas.microsoft.com/office/drawing/2014/chart" uri="{C3380CC4-5D6E-409C-BE32-E72D297353CC}">
              <c16:uniqueId val="{00000000-A4A5-48FC-B757-0776C0E9C106}"/>
            </c:ext>
          </c:extLst>
        </c:ser>
        <c:dLbls>
          <c:dLblPos val="outEnd"/>
          <c:showLegendKey val="0"/>
          <c:showVal val="1"/>
          <c:showCatName val="0"/>
          <c:showSerName val="0"/>
          <c:showPercent val="0"/>
          <c:showBubbleSize val="0"/>
        </c:dLbls>
        <c:gapWidth val="182"/>
        <c:axId val="991974703"/>
        <c:axId val="990976463"/>
      </c:barChart>
      <c:catAx>
        <c:axId val="99197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76463"/>
        <c:crosses val="autoZero"/>
        <c:auto val="1"/>
        <c:lblAlgn val="ctr"/>
        <c:lblOffset val="100"/>
        <c:noMultiLvlLbl val="0"/>
      </c:catAx>
      <c:valAx>
        <c:axId val="990976463"/>
        <c:scaling>
          <c:orientation val="minMax"/>
        </c:scaling>
        <c:delete val="1"/>
        <c:axPos val="b"/>
        <c:numFmt formatCode="General" sourceLinked="1"/>
        <c:majorTickMark val="none"/>
        <c:minorTickMark val="none"/>
        <c:tickLblPos val="nextTo"/>
        <c:crossAx val="99197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Pivots!$A$52:$A$55</c:f>
              <c:strCache>
                <c:ptCount val="3"/>
                <c:pt idx="0">
                  <c:v>Furniture</c:v>
                </c:pt>
                <c:pt idx="1">
                  <c:v>Mobiles</c:v>
                </c:pt>
                <c:pt idx="2">
                  <c:v>LED TV's</c:v>
                </c:pt>
              </c:strCache>
            </c:strRef>
          </c:cat>
          <c:val>
            <c:numRef>
              <c:f>Pivots!$B$52:$B$55</c:f>
              <c:numCache>
                <c:formatCode>General</c:formatCode>
                <c:ptCount val="3"/>
                <c:pt idx="0">
                  <c:v>1233</c:v>
                </c:pt>
                <c:pt idx="1">
                  <c:v>1168</c:v>
                </c:pt>
                <c:pt idx="2">
                  <c:v>694</c:v>
                </c:pt>
              </c:numCache>
            </c:numRef>
          </c:val>
          <c:extLst>
            <c:ext xmlns:c16="http://schemas.microsoft.com/office/drawing/2014/chart" uri="{C3380CC4-5D6E-409C-BE32-E72D297353CC}">
              <c16:uniqueId val="{00000000-47C0-4033-A38A-6CB906A25FE2}"/>
            </c:ext>
          </c:extLst>
        </c:ser>
        <c:dLbls>
          <c:dLblPos val="outEnd"/>
          <c:showLegendKey val="0"/>
          <c:showVal val="1"/>
          <c:showCatName val="0"/>
          <c:showSerName val="0"/>
          <c:showPercent val="0"/>
          <c:showBubbleSize val="0"/>
        </c:dLbls>
        <c:gapWidth val="182"/>
        <c:axId val="967868975"/>
        <c:axId val="1894843263"/>
      </c:barChart>
      <c:catAx>
        <c:axId val="96786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43263"/>
        <c:crosses val="autoZero"/>
        <c:auto val="1"/>
        <c:lblAlgn val="ctr"/>
        <c:lblOffset val="100"/>
        <c:noMultiLvlLbl val="0"/>
      </c:catAx>
      <c:valAx>
        <c:axId val="1894843263"/>
        <c:scaling>
          <c:orientation val="minMax"/>
        </c:scaling>
        <c:delete val="1"/>
        <c:axPos val="b"/>
        <c:numFmt formatCode="General" sourceLinked="1"/>
        <c:majorTickMark val="none"/>
        <c:minorTickMark val="none"/>
        <c:tickLblPos val="nextTo"/>
        <c:crossAx val="967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Pivots!$A$61:$A$67</c:f>
              <c:strCache>
                <c:ptCount val="6"/>
                <c:pt idx="0">
                  <c:v>4K LED TV's</c:v>
                </c:pt>
                <c:pt idx="1">
                  <c:v>Furniture</c:v>
                </c:pt>
                <c:pt idx="2">
                  <c:v>Laptops</c:v>
                </c:pt>
                <c:pt idx="3">
                  <c:v>LED TV's</c:v>
                </c:pt>
                <c:pt idx="4">
                  <c:v>Mobiles</c:v>
                </c:pt>
                <c:pt idx="5">
                  <c:v>Speakers</c:v>
                </c:pt>
              </c:strCache>
            </c:strRef>
          </c:cat>
          <c:val>
            <c:numRef>
              <c:f>Pivots!$B$61:$B$67</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34FA-451D-BEB9-B6AD8D6A6307}"/>
            </c:ext>
          </c:extLst>
        </c:ser>
        <c:dLbls>
          <c:dLblPos val="outEnd"/>
          <c:showLegendKey val="0"/>
          <c:showVal val="1"/>
          <c:showCatName val="0"/>
          <c:showSerName val="0"/>
          <c:showPercent val="0"/>
          <c:showBubbleSize val="0"/>
        </c:dLbls>
        <c:gapWidth val="219"/>
        <c:overlap val="-27"/>
        <c:axId val="1967597999"/>
        <c:axId val="1967887359"/>
      </c:barChart>
      <c:catAx>
        <c:axId val="196759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87359"/>
        <c:crosses val="autoZero"/>
        <c:auto val="1"/>
        <c:lblAlgn val="ctr"/>
        <c:lblOffset val="100"/>
        <c:noMultiLvlLbl val="0"/>
      </c:catAx>
      <c:valAx>
        <c:axId val="1967887359"/>
        <c:scaling>
          <c:orientation val="minMax"/>
        </c:scaling>
        <c:delete val="1"/>
        <c:axPos val="l"/>
        <c:numFmt formatCode="General" sourceLinked="1"/>
        <c:majorTickMark val="none"/>
        <c:minorTickMark val="none"/>
        <c:tickLblPos val="nextTo"/>
        <c:crossAx val="196759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Pivots!$A$74:$A$77</c:f>
              <c:strCache>
                <c:ptCount val="3"/>
                <c:pt idx="0">
                  <c:v>Kiran</c:v>
                </c:pt>
                <c:pt idx="1">
                  <c:v>Gopi</c:v>
                </c:pt>
                <c:pt idx="2">
                  <c:v>Ganesh</c:v>
                </c:pt>
              </c:strCache>
            </c:strRef>
          </c:cat>
          <c:val>
            <c:numRef>
              <c:f>Pivots!$B$74:$B$77</c:f>
              <c:numCache>
                <c:formatCode>General</c:formatCode>
                <c:ptCount val="3"/>
                <c:pt idx="0">
                  <c:v>1407</c:v>
                </c:pt>
                <c:pt idx="1">
                  <c:v>1534</c:v>
                </c:pt>
                <c:pt idx="2">
                  <c:v>1687</c:v>
                </c:pt>
              </c:numCache>
            </c:numRef>
          </c:val>
          <c:extLst>
            <c:ext xmlns:c16="http://schemas.microsoft.com/office/drawing/2014/chart" uri="{C3380CC4-5D6E-409C-BE32-E72D297353CC}">
              <c16:uniqueId val="{00000000-FC64-4511-9334-F9B39EE0FB5F}"/>
            </c:ext>
          </c:extLst>
        </c:ser>
        <c:dLbls>
          <c:dLblPos val="outEnd"/>
          <c:showLegendKey val="0"/>
          <c:showVal val="1"/>
          <c:showCatName val="0"/>
          <c:showSerName val="0"/>
          <c:showPercent val="0"/>
          <c:showBubbleSize val="0"/>
        </c:dLbls>
        <c:gapWidth val="182"/>
        <c:axId val="981238063"/>
        <c:axId val="981280575"/>
      </c:barChart>
      <c:catAx>
        <c:axId val="9812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80575"/>
        <c:crosses val="autoZero"/>
        <c:auto val="1"/>
        <c:lblAlgn val="ctr"/>
        <c:lblOffset val="100"/>
        <c:noMultiLvlLbl val="0"/>
      </c:catAx>
      <c:valAx>
        <c:axId val="981280575"/>
        <c:scaling>
          <c:orientation val="minMax"/>
        </c:scaling>
        <c:delete val="1"/>
        <c:axPos val="b"/>
        <c:numFmt formatCode="General" sourceLinked="1"/>
        <c:majorTickMark val="none"/>
        <c:minorTickMark val="none"/>
        <c:tickLblPos val="nextTo"/>
        <c:crossAx val="9812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Pivots!$A$82:$A$85</c:f>
              <c:strCache>
                <c:ptCount val="3"/>
                <c:pt idx="0">
                  <c:v>Prathap</c:v>
                </c:pt>
                <c:pt idx="1">
                  <c:v>Ramesh</c:v>
                </c:pt>
                <c:pt idx="2">
                  <c:v>Mahesh</c:v>
                </c:pt>
              </c:strCache>
            </c:strRef>
          </c:cat>
          <c:val>
            <c:numRef>
              <c:f>Pivots!$B$82:$B$85</c:f>
              <c:numCache>
                <c:formatCode>General</c:formatCode>
                <c:ptCount val="3"/>
                <c:pt idx="0">
                  <c:v>1285</c:v>
                </c:pt>
                <c:pt idx="1">
                  <c:v>947</c:v>
                </c:pt>
                <c:pt idx="2">
                  <c:v>810</c:v>
                </c:pt>
              </c:numCache>
            </c:numRef>
          </c:val>
          <c:extLst>
            <c:ext xmlns:c16="http://schemas.microsoft.com/office/drawing/2014/chart" uri="{C3380CC4-5D6E-409C-BE32-E72D297353CC}">
              <c16:uniqueId val="{00000000-7FEC-4197-8B13-DEF7276C71FD}"/>
            </c:ext>
          </c:extLst>
        </c:ser>
        <c:dLbls>
          <c:dLblPos val="outEnd"/>
          <c:showLegendKey val="0"/>
          <c:showVal val="1"/>
          <c:showCatName val="0"/>
          <c:showSerName val="0"/>
          <c:showPercent val="0"/>
          <c:showBubbleSize val="0"/>
        </c:dLbls>
        <c:gapWidth val="182"/>
        <c:axId val="1967615999"/>
        <c:axId val="981269343"/>
      </c:barChart>
      <c:catAx>
        <c:axId val="196761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69343"/>
        <c:crosses val="autoZero"/>
        <c:auto val="1"/>
        <c:lblAlgn val="ctr"/>
        <c:lblOffset val="100"/>
        <c:noMultiLvlLbl val="0"/>
      </c:catAx>
      <c:valAx>
        <c:axId val="981269343"/>
        <c:scaling>
          <c:orientation val="minMax"/>
        </c:scaling>
        <c:delete val="1"/>
        <c:axPos val="b"/>
        <c:numFmt formatCode="General" sourceLinked="1"/>
        <c:majorTickMark val="none"/>
        <c:minorTickMark val="none"/>
        <c:tickLblPos val="nextTo"/>
        <c:crossAx val="196761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Pivots!$A$91:$A$97</c:f>
              <c:strCache>
                <c:ptCount val="6"/>
                <c:pt idx="0">
                  <c:v>Ganesh</c:v>
                </c:pt>
                <c:pt idx="1">
                  <c:v>Gopi</c:v>
                </c:pt>
                <c:pt idx="2">
                  <c:v>Kiran</c:v>
                </c:pt>
                <c:pt idx="3">
                  <c:v>Mahesh</c:v>
                </c:pt>
                <c:pt idx="4">
                  <c:v>Prathap</c:v>
                </c:pt>
                <c:pt idx="5">
                  <c:v>Ramesh</c:v>
                </c:pt>
              </c:strCache>
            </c:strRef>
          </c:cat>
          <c:val>
            <c:numRef>
              <c:f>Pivots!$B$91:$B$97</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D27B-4CC0-A31C-164C5A389200}"/>
            </c:ext>
          </c:extLst>
        </c:ser>
        <c:dLbls>
          <c:dLblPos val="outEnd"/>
          <c:showLegendKey val="0"/>
          <c:showVal val="1"/>
          <c:showCatName val="0"/>
          <c:showSerName val="0"/>
          <c:showPercent val="0"/>
          <c:showBubbleSize val="0"/>
        </c:dLbls>
        <c:gapWidth val="219"/>
        <c:overlap val="-27"/>
        <c:axId val="1744968479"/>
        <c:axId val="990980207"/>
      </c:barChart>
      <c:catAx>
        <c:axId val="17449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80207"/>
        <c:crosses val="autoZero"/>
        <c:auto val="1"/>
        <c:lblAlgn val="ctr"/>
        <c:lblOffset val="100"/>
        <c:noMultiLvlLbl val="0"/>
      </c:catAx>
      <c:valAx>
        <c:axId val="990980207"/>
        <c:scaling>
          <c:orientation val="minMax"/>
        </c:scaling>
        <c:delete val="1"/>
        <c:axPos val="l"/>
        <c:numFmt formatCode="General" sourceLinked="1"/>
        <c:majorTickMark val="none"/>
        <c:minorTickMark val="none"/>
        <c:tickLblPos val="nextTo"/>
        <c:crossAx val="174496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Pivots!$A$45:$A$48</c:f>
              <c:strCache>
                <c:ptCount val="3"/>
                <c:pt idx="0">
                  <c:v>Speakers</c:v>
                </c:pt>
                <c:pt idx="1">
                  <c:v>4K LED TV's</c:v>
                </c:pt>
                <c:pt idx="2">
                  <c:v>Laptops</c:v>
                </c:pt>
              </c:strCache>
            </c:strRef>
          </c:cat>
          <c:val>
            <c:numRef>
              <c:f>Pivots!$B$45:$B$48</c:f>
              <c:numCache>
                <c:formatCode>General</c:formatCode>
                <c:ptCount val="3"/>
                <c:pt idx="0">
                  <c:v>1457</c:v>
                </c:pt>
                <c:pt idx="1">
                  <c:v>1503</c:v>
                </c:pt>
                <c:pt idx="2">
                  <c:v>1615</c:v>
                </c:pt>
              </c:numCache>
            </c:numRef>
          </c:val>
          <c:extLst>
            <c:ext xmlns:c16="http://schemas.microsoft.com/office/drawing/2014/chart" uri="{C3380CC4-5D6E-409C-BE32-E72D297353CC}">
              <c16:uniqueId val="{00000000-FA1B-46C1-A41A-5E4BB329A2C6}"/>
            </c:ext>
          </c:extLst>
        </c:ser>
        <c:dLbls>
          <c:dLblPos val="outEnd"/>
          <c:showLegendKey val="0"/>
          <c:showVal val="1"/>
          <c:showCatName val="0"/>
          <c:showSerName val="0"/>
          <c:showPercent val="0"/>
          <c:showBubbleSize val="0"/>
        </c:dLbls>
        <c:gapWidth val="182"/>
        <c:axId val="991974703"/>
        <c:axId val="990976463"/>
      </c:barChart>
      <c:catAx>
        <c:axId val="99197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76463"/>
        <c:crosses val="autoZero"/>
        <c:auto val="1"/>
        <c:lblAlgn val="ctr"/>
        <c:lblOffset val="100"/>
        <c:noMultiLvlLbl val="0"/>
      </c:catAx>
      <c:valAx>
        <c:axId val="990976463"/>
        <c:scaling>
          <c:orientation val="minMax"/>
        </c:scaling>
        <c:delete val="1"/>
        <c:axPos val="b"/>
        <c:numFmt formatCode="General" sourceLinked="1"/>
        <c:majorTickMark val="none"/>
        <c:minorTickMark val="none"/>
        <c:tickLblPos val="nextTo"/>
        <c:crossAx val="99197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Pivots!$A$52:$A$55</c:f>
              <c:strCache>
                <c:ptCount val="3"/>
                <c:pt idx="0">
                  <c:v>Furniture</c:v>
                </c:pt>
                <c:pt idx="1">
                  <c:v>Mobiles</c:v>
                </c:pt>
                <c:pt idx="2">
                  <c:v>LED TV's</c:v>
                </c:pt>
              </c:strCache>
            </c:strRef>
          </c:cat>
          <c:val>
            <c:numRef>
              <c:f>Pivots!$B$52:$B$55</c:f>
              <c:numCache>
                <c:formatCode>General</c:formatCode>
                <c:ptCount val="3"/>
                <c:pt idx="0">
                  <c:v>1233</c:v>
                </c:pt>
                <c:pt idx="1">
                  <c:v>1168</c:v>
                </c:pt>
                <c:pt idx="2">
                  <c:v>694</c:v>
                </c:pt>
              </c:numCache>
            </c:numRef>
          </c:val>
          <c:extLst>
            <c:ext xmlns:c16="http://schemas.microsoft.com/office/drawing/2014/chart" uri="{C3380CC4-5D6E-409C-BE32-E72D297353CC}">
              <c16:uniqueId val="{00000000-EFCB-4F37-9EAE-0E515E3A0FDF}"/>
            </c:ext>
          </c:extLst>
        </c:ser>
        <c:dLbls>
          <c:dLblPos val="outEnd"/>
          <c:showLegendKey val="0"/>
          <c:showVal val="1"/>
          <c:showCatName val="0"/>
          <c:showSerName val="0"/>
          <c:showPercent val="0"/>
          <c:showBubbleSize val="0"/>
        </c:dLbls>
        <c:gapWidth val="182"/>
        <c:axId val="967868975"/>
        <c:axId val="1894843263"/>
      </c:barChart>
      <c:catAx>
        <c:axId val="96786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43263"/>
        <c:crosses val="autoZero"/>
        <c:auto val="1"/>
        <c:lblAlgn val="ctr"/>
        <c:lblOffset val="100"/>
        <c:noMultiLvlLbl val="0"/>
      </c:catAx>
      <c:valAx>
        <c:axId val="1894843263"/>
        <c:scaling>
          <c:orientation val="minMax"/>
        </c:scaling>
        <c:delete val="1"/>
        <c:axPos val="b"/>
        <c:numFmt formatCode="General" sourceLinked="1"/>
        <c:majorTickMark val="none"/>
        <c:minorTickMark val="none"/>
        <c:tickLblPos val="nextTo"/>
        <c:crossAx val="96786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Pivots!$A$61:$A$67</c:f>
              <c:strCache>
                <c:ptCount val="6"/>
                <c:pt idx="0">
                  <c:v>4K LED TV's</c:v>
                </c:pt>
                <c:pt idx="1">
                  <c:v>Furniture</c:v>
                </c:pt>
                <c:pt idx="2">
                  <c:v>Laptops</c:v>
                </c:pt>
                <c:pt idx="3">
                  <c:v>LED TV's</c:v>
                </c:pt>
                <c:pt idx="4">
                  <c:v>Mobiles</c:v>
                </c:pt>
                <c:pt idx="5">
                  <c:v>Speakers</c:v>
                </c:pt>
              </c:strCache>
            </c:strRef>
          </c:cat>
          <c:val>
            <c:numRef>
              <c:f>Pivots!$B$61:$B$67</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D55A-4EE3-9C8B-2062FAA63421}"/>
            </c:ext>
          </c:extLst>
        </c:ser>
        <c:dLbls>
          <c:dLblPos val="outEnd"/>
          <c:showLegendKey val="0"/>
          <c:showVal val="1"/>
          <c:showCatName val="0"/>
          <c:showSerName val="0"/>
          <c:showPercent val="0"/>
          <c:showBubbleSize val="0"/>
        </c:dLbls>
        <c:gapWidth val="219"/>
        <c:overlap val="-27"/>
        <c:axId val="1967597999"/>
        <c:axId val="1967887359"/>
      </c:barChart>
      <c:catAx>
        <c:axId val="196759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87359"/>
        <c:crosses val="autoZero"/>
        <c:auto val="1"/>
        <c:lblAlgn val="ctr"/>
        <c:lblOffset val="100"/>
        <c:noMultiLvlLbl val="0"/>
      </c:catAx>
      <c:valAx>
        <c:axId val="1967887359"/>
        <c:scaling>
          <c:orientation val="minMax"/>
        </c:scaling>
        <c:delete val="1"/>
        <c:axPos val="l"/>
        <c:numFmt formatCode="General" sourceLinked="1"/>
        <c:majorTickMark val="none"/>
        <c:minorTickMark val="none"/>
        <c:tickLblPos val="nextTo"/>
        <c:crossAx val="196759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Pivots!$B$73</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Pivots!$A$74:$A$77</c:f>
              <c:strCache>
                <c:ptCount val="3"/>
                <c:pt idx="0">
                  <c:v>Kiran</c:v>
                </c:pt>
                <c:pt idx="1">
                  <c:v>Gopi</c:v>
                </c:pt>
                <c:pt idx="2">
                  <c:v>Ganesh</c:v>
                </c:pt>
              </c:strCache>
            </c:strRef>
          </c:cat>
          <c:val>
            <c:numRef>
              <c:f>Pivots!$B$74:$B$77</c:f>
              <c:numCache>
                <c:formatCode>General</c:formatCode>
                <c:ptCount val="3"/>
                <c:pt idx="0">
                  <c:v>1407</c:v>
                </c:pt>
                <c:pt idx="1">
                  <c:v>1534</c:v>
                </c:pt>
                <c:pt idx="2">
                  <c:v>1687</c:v>
                </c:pt>
              </c:numCache>
            </c:numRef>
          </c:val>
          <c:extLst>
            <c:ext xmlns:c16="http://schemas.microsoft.com/office/drawing/2014/chart" uri="{C3380CC4-5D6E-409C-BE32-E72D297353CC}">
              <c16:uniqueId val="{00000000-09CE-44F8-A9BB-29BEBB99D6C4}"/>
            </c:ext>
          </c:extLst>
        </c:ser>
        <c:dLbls>
          <c:dLblPos val="outEnd"/>
          <c:showLegendKey val="0"/>
          <c:showVal val="1"/>
          <c:showCatName val="0"/>
          <c:showSerName val="0"/>
          <c:showPercent val="0"/>
          <c:showBubbleSize val="0"/>
        </c:dLbls>
        <c:gapWidth val="182"/>
        <c:axId val="981238063"/>
        <c:axId val="981280575"/>
      </c:barChart>
      <c:catAx>
        <c:axId val="9812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80575"/>
        <c:crosses val="autoZero"/>
        <c:auto val="1"/>
        <c:lblAlgn val="ctr"/>
        <c:lblOffset val="100"/>
        <c:noMultiLvlLbl val="0"/>
      </c:catAx>
      <c:valAx>
        <c:axId val="981280575"/>
        <c:scaling>
          <c:orientation val="minMax"/>
        </c:scaling>
        <c:delete val="1"/>
        <c:axPos val="b"/>
        <c:numFmt formatCode="General" sourceLinked="1"/>
        <c:majorTickMark val="none"/>
        <c:minorTickMark val="none"/>
        <c:tickLblPos val="nextTo"/>
        <c:crossAx val="9812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Pivots!$A$82:$A$85</c:f>
              <c:strCache>
                <c:ptCount val="3"/>
                <c:pt idx="0">
                  <c:v>Prathap</c:v>
                </c:pt>
                <c:pt idx="1">
                  <c:v>Ramesh</c:v>
                </c:pt>
                <c:pt idx="2">
                  <c:v>Mahesh</c:v>
                </c:pt>
              </c:strCache>
            </c:strRef>
          </c:cat>
          <c:val>
            <c:numRef>
              <c:f>Pivots!$B$82:$B$85</c:f>
              <c:numCache>
                <c:formatCode>General</c:formatCode>
                <c:ptCount val="3"/>
                <c:pt idx="0">
                  <c:v>1285</c:v>
                </c:pt>
                <c:pt idx="1">
                  <c:v>947</c:v>
                </c:pt>
                <c:pt idx="2">
                  <c:v>810</c:v>
                </c:pt>
              </c:numCache>
            </c:numRef>
          </c:val>
          <c:extLst>
            <c:ext xmlns:c16="http://schemas.microsoft.com/office/drawing/2014/chart" uri="{C3380CC4-5D6E-409C-BE32-E72D297353CC}">
              <c16:uniqueId val="{00000000-997B-4DAF-B957-BECC45823DA5}"/>
            </c:ext>
          </c:extLst>
        </c:ser>
        <c:dLbls>
          <c:dLblPos val="outEnd"/>
          <c:showLegendKey val="0"/>
          <c:showVal val="1"/>
          <c:showCatName val="0"/>
          <c:showSerName val="0"/>
          <c:showPercent val="0"/>
          <c:showBubbleSize val="0"/>
        </c:dLbls>
        <c:gapWidth val="182"/>
        <c:axId val="1967615999"/>
        <c:axId val="981269343"/>
      </c:barChart>
      <c:catAx>
        <c:axId val="196761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269343"/>
        <c:crosses val="autoZero"/>
        <c:auto val="1"/>
        <c:lblAlgn val="ctr"/>
        <c:lblOffset val="100"/>
        <c:noMultiLvlLbl val="0"/>
      </c:catAx>
      <c:valAx>
        <c:axId val="981269343"/>
        <c:scaling>
          <c:orientation val="minMax"/>
        </c:scaling>
        <c:delete val="1"/>
        <c:axPos val="b"/>
        <c:numFmt formatCode="General" sourceLinked="1"/>
        <c:majorTickMark val="none"/>
        <c:minorTickMark val="none"/>
        <c:tickLblPos val="nextTo"/>
        <c:crossAx val="196761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File.xlsx]Pivots!PivotTable13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Pivots!$A$91:$A$97</c:f>
              <c:strCache>
                <c:ptCount val="6"/>
                <c:pt idx="0">
                  <c:v>Ganesh</c:v>
                </c:pt>
                <c:pt idx="1">
                  <c:v>Gopi</c:v>
                </c:pt>
                <c:pt idx="2">
                  <c:v>Kiran</c:v>
                </c:pt>
                <c:pt idx="3">
                  <c:v>Mahesh</c:v>
                </c:pt>
                <c:pt idx="4">
                  <c:v>Prathap</c:v>
                </c:pt>
                <c:pt idx="5">
                  <c:v>Ramesh</c:v>
                </c:pt>
              </c:strCache>
            </c:strRef>
          </c:cat>
          <c:val>
            <c:numRef>
              <c:f>Pivots!$B$91:$B$97</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5C4E-4CA3-89B1-7319365CF219}"/>
            </c:ext>
          </c:extLst>
        </c:ser>
        <c:dLbls>
          <c:dLblPos val="outEnd"/>
          <c:showLegendKey val="0"/>
          <c:showVal val="1"/>
          <c:showCatName val="0"/>
          <c:showSerName val="0"/>
          <c:showPercent val="0"/>
          <c:showBubbleSize val="0"/>
        </c:dLbls>
        <c:gapWidth val="219"/>
        <c:overlap val="-27"/>
        <c:axId val="1744968479"/>
        <c:axId val="990980207"/>
      </c:barChart>
      <c:catAx>
        <c:axId val="17449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80207"/>
        <c:crosses val="autoZero"/>
        <c:auto val="1"/>
        <c:lblAlgn val="ctr"/>
        <c:lblOffset val="100"/>
        <c:noMultiLvlLbl val="0"/>
      </c:catAx>
      <c:valAx>
        <c:axId val="990980207"/>
        <c:scaling>
          <c:orientation val="minMax"/>
        </c:scaling>
        <c:delete val="1"/>
        <c:axPos val="l"/>
        <c:numFmt formatCode="General" sourceLinked="1"/>
        <c:majorTickMark val="none"/>
        <c:minorTickMark val="none"/>
        <c:tickLblPos val="nextTo"/>
        <c:crossAx val="174496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A1"/><Relationship Id="rId11" Type="http://schemas.openxmlformats.org/officeDocument/2006/relationships/chart" Target="../charts/chart1.xml"/><Relationship Id="rId5" Type="http://schemas.openxmlformats.org/officeDocument/2006/relationships/hyperlink" Target="#'Sales Mans'!A1"/><Relationship Id="rId10" Type="http://schemas.openxmlformats.org/officeDocument/2006/relationships/image" Target="../media/image7.svg"/><Relationship Id="rId4" Type="http://schemas.openxmlformats.org/officeDocument/2006/relationships/hyperlink" Target="#'Product menu'!A1"/><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A1"/><Relationship Id="rId5" Type="http://schemas.openxmlformats.org/officeDocument/2006/relationships/hyperlink" Target="#'Sales Mans'!A1"/><Relationship Id="rId4" Type="http://schemas.openxmlformats.org/officeDocument/2006/relationships/hyperlink" Target="#'Product menu'!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hyperlink" Target="#Dashboard!A1"/><Relationship Id="rId7" Type="http://schemas.openxmlformats.org/officeDocument/2006/relationships/chart" Target="../charts/chart16.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A1"/><Relationship Id="rId5" Type="http://schemas.openxmlformats.org/officeDocument/2006/relationships/hyperlink" Target="#'Sales Mans'!A1"/><Relationship Id="rId4" Type="http://schemas.openxmlformats.org/officeDocument/2006/relationships/hyperlink" Target="#'Product menu'!A1"/><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hyperlink" Target="#'Sales Mans'!A1"/><Relationship Id="rId2" Type="http://schemas.openxmlformats.org/officeDocument/2006/relationships/hyperlink" Target="#'Product menu'!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31750</xdr:rowOff>
    </xdr:from>
    <xdr:to>
      <xdr:col>26</xdr:col>
      <xdr:colOff>2240</xdr:colOff>
      <xdr:row>39</xdr:row>
      <xdr:rowOff>93383</xdr:rowOff>
    </xdr:to>
    <xdr:sp macro="" textlink="">
      <xdr:nvSpPr>
        <xdr:cNvPr id="2" name="Rectangle: Rounded Corners 1">
          <a:extLst>
            <a:ext uri="{FF2B5EF4-FFF2-40B4-BE49-F238E27FC236}">
              <a16:creationId xmlns:a16="http://schemas.microsoft.com/office/drawing/2014/main" id="{83A2DD25-F805-430F-B755-A883537FBE2C}"/>
            </a:ext>
          </a:extLst>
        </xdr:cNvPr>
        <xdr:cNvSpPr/>
      </xdr:nvSpPr>
      <xdr:spPr>
        <a:xfrm>
          <a:off x="25400" y="31750"/>
          <a:ext cx="15927179" cy="8036802"/>
        </a:xfrm>
        <a:prstGeom prst="roundRect">
          <a:avLst>
            <a:gd name="adj" fmla="val 1852"/>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607126</xdr:colOff>
      <xdr:row>0</xdr:row>
      <xdr:rowOff>31630</xdr:rowOff>
    </xdr:from>
    <xdr:to>
      <xdr:col>25</xdr:col>
      <xdr:colOff>579111</xdr:colOff>
      <xdr:row>39</xdr:row>
      <xdr:rowOff>65367</xdr:rowOff>
    </xdr:to>
    <xdr:sp macro="" textlink="">
      <xdr:nvSpPr>
        <xdr:cNvPr id="4" name="Rectangle: Rounded Corners 3">
          <a:extLst>
            <a:ext uri="{FF2B5EF4-FFF2-40B4-BE49-F238E27FC236}">
              <a16:creationId xmlns:a16="http://schemas.microsoft.com/office/drawing/2014/main" id="{00BF4558-D368-4E9A-8B0E-7E59C4C7AD8E}"/>
            </a:ext>
          </a:extLst>
        </xdr:cNvPr>
        <xdr:cNvSpPr/>
      </xdr:nvSpPr>
      <xdr:spPr>
        <a:xfrm>
          <a:off x="2596170" y="31630"/>
          <a:ext cx="14558309" cy="6953369"/>
        </a:xfrm>
        <a:prstGeom prst="roundRect">
          <a:avLst>
            <a:gd name="adj" fmla="val 185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102721</xdr:colOff>
      <xdr:row>0</xdr:row>
      <xdr:rowOff>143689</xdr:rowOff>
    </xdr:from>
    <xdr:to>
      <xdr:col>14</xdr:col>
      <xdr:colOff>597647</xdr:colOff>
      <xdr:row>8</xdr:row>
      <xdr:rowOff>71158</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89F5CC9-A819-42D2-8FAA-5F13211A5A8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555135" y="143689"/>
              <a:ext cx="6541916" cy="13288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28014</xdr:colOff>
      <xdr:row>0</xdr:row>
      <xdr:rowOff>145222</xdr:rowOff>
    </xdr:from>
    <xdr:to>
      <xdr:col>25</xdr:col>
      <xdr:colOff>513602</xdr:colOff>
      <xdr:row>8</xdr:row>
      <xdr:rowOff>74190</xdr:rowOff>
    </xdr:to>
    <mc:AlternateContent xmlns:mc="http://schemas.openxmlformats.org/markup-compatibility/2006" xmlns:a14="http://schemas.microsoft.com/office/drawing/2010/main">
      <mc:Choice Requires="a14">
        <xdr:graphicFrame macro="">
          <xdr:nvGraphicFramePr>
            <xdr:cNvPr id="11" name="Place">
              <a:extLst>
                <a:ext uri="{FF2B5EF4-FFF2-40B4-BE49-F238E27FC236}">
                  <a16:creationId xmlns:a16="http://schemas.microsoft.com/office/drawing/2014/main" id="{01EA1027-238E-4ED2-B018-4D147E8D5FC4}"/>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9224567" y="145222"/>
              <a:ext cx="6625961" cy="1330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121538</xdr:colOff>
      <xdr:row>8</xdr:row>
      <xdr:rowOff>97835</xdr:rowOff>
    </xdr:from>
    <xdr:to>
      <xdr:col>25</xdr:col>
      <xdr:colOff>532279</xdr:colOff>
      <xdr:row>13</xdr:row>
      <xdr:rowOff>114385</xdr:rowOff>
    </xdr:to>
    <mc:AlternateContent xmlns:mc="http://schemas.openxmlformats.org/markup-compatibility/2006" xmlns:a14="http://schemas.microsoft.com/office/drawing/2010/main">
      <mc:Choice Requires="a14">
        <xdr:graphicFrame macro="">
          <xdr:nvGraphicFramePr>
            <xdr:cNvPr id="12" name="Products">
              <a:extLst>
                <a:ext uri="{FF2B5EF4-FFF2-40B4-BE49-F238E27FC236}">
                  <a16:creationId xmlns:a16="http://schemas.microsoft.com/office/drawing/2014/main" id="{6E95967B-89ED-48D6-B256-155B4DCE0F4D}"/>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2573952" y="1761973"/>
              <a:ext cx="13295253" cy="892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104256</xdr:colOff>
      <xdr:row>14</xdr:row>
      <xdr:rowOff>146712</xdr:rowOff>
    </xdr:from>
    <xdr:to>
      <xdr:col>4</xdr:col>
      <xdr:colOff>568658</xdr:colOff>
      <xdr:row>17</xdr:row>
      <xdr:rowOff>82804</xdr:rowOff>
    </xdr:to>
    <xdr:pic>
      <xdr:nvPicPr>
        <xdr:cNvPr id="14" name="Graphic 13" descr="Bar chart">
          <a:extLst>
            <a:ext uri="{FF2B5EF4-FFF2-40B4-BE49-F238E27FC236}">
              <a16:creationId xmlns:a16="http://schemas.microsoft.com/office/drawing/2014/main" id="{B02B624B-7284-48AC-98D4-B82A33B2A1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57987" y="2667757"/>
          <a:ext cx="464402" cy="464402"/>
        </a:xfrm>
        <a:prstGeom prst="rect">
          <a:avLst/>
        </a:prstGeom>
      </xdr:spPr>
    </xdr:pic>
    <xdr:clientData/>
  </xdr:twoCellAnchor>
  <xdr:twoCellAnchor>
    <xdr:from>
      <xdr:col>4</xdr:col>
      <xdr:colOff>502313</xdr:colOff>
      <xdr:row>15</xdr:row>
      <xdr:rowOff>37911</xdr:rowOff>
    </xdr:from>
    <xdr:to>
      <xdr:col>7</xdr:col>
      <xdr:colOff>87586</xdr:colOff>
      <xdr:row>17</xdr:row>
      <xdr:rowOff>123210</xdr:rowOff>
    </xdr:to>
    <xdr:sp macro="" textlink="">
      <xdr:nvSpPr>
        <xdr:cNvPr id="15" name="Rectangle 14">
          <a:extLst>
            <a:ext uri="{FF2B5EF4-FFF2-40B4-BE49-F238E27FC236}">
              <a16:creationId xmlns:a16="http://schemas.microsoft.com/office/drawing/2014/main" id="{B59B1137-06B9-4FAF-8963-45C8A89EA68D}"/>
            </a:ext>
          </a:extLst>
        </xdr:cNvPr>
        <xdr:cNvSpPr/>
      </xdr:nvSpPr>
      <xdr:spPr>
        <a:xfrm>
          <a:off x="2954727" y="3158170"/>
          <a:ext cx="1424583" cy="5013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90000"/>
                  <a:lumOff val="10000"/>
                </a:schemeClr>
              </a:solidFill>
            </a:rPr>
            <a:t>Analytics</a:t>
          </a:r>
        </a:p>
      </xdr:txBody>
    </xdr:sp>
    <xdr:clientData/>
  </xdr:twoCellAnchor>
  <xdr:twoCellAnchor>
    <xdr:from>
      <xdr:col>4</xdr:col>
      <xdr:colOff>151642</xdr:colOff>
      <xdr:row>18</xdr:row>
      <xdr:rowOff>0</xdr:rowOff>
    </xdr:from>
    <xdr:to>
      <xdr:col>9</xdr:col>
      <xdr:colOff>151641</xdr:colOff>
      <xdr:row>22</xdr:row>
      <xdr:rowOff>37911</xdr:rowOff>
    </xdr:to>
    <xdr:sp macro="" textlink="">
      <xdr:nvSpPr>
        <xdr:cNvPr id="16" name="Rectangle: Rounded Corners 15">
          <a:extLst>
            <a:ext uri="{FF2B5EF4-FFF2-40B4-BE49-F238E27FC236}">
              <a16:creationId xmlns:a16="http://schemas.microsoft.com/office/drawing/2014/main" id="{9F7FD808-328E-495A-BD15-ED83BA849089}"/>
            </a:ext>
          </a:extLst>
        </xdr:cNvPr>
        <xdr:cNvSpPr/>
      </xdr:nvSpPr>
      <xdr:spPr>
        <a:xfrm>
          <a:off x="2805373" y="3241343"/>
          <a:ext cx="3317164" cy="75821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285085</xdr:colOff>
      <xdr:row>18</xdr:row>
      <xdr:rowOff>758</xdr:rowOff>
    </xdr:from>
    <xdr:to>
      <xdr:col>14</xdr:col>
      <xdr:colOff>285085</xdr:colOff>
      <xdr:row>22</xdr:row>
      <xdr:rowOff>38669</xdr:rowOff>
    </xdr:to>
    <xdr:sp macro="" textlink="">
      <xdr:nvSpPr>
        <xdr:cNvPr id="18" name="Rectangle: Rounded Corners 17">
          <a:extLst>
            <a:ext uri="{FF2B5EF4-FFF2-40B4-BE49-F238E27FC236}">
              <a16:creationId xmlns:a16="http://schemas.microsoft.com/office/drawing/2014/main" id="{F3DBA6AD-7583-4016-ACF7-68ED3CFF5E60}"/>
            </a:ext>
          </a:extLst>
        </xdr:cNvPr>
        <xdr:cNvSpPr/>
      </xdr:nvSpPr>
      <xdr:spPr>
        <a:xfrm>
          <a:off x="6255981" y="3242101"/>
          <a:ext cx="3317164" cy="75821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587611</xdr:colOff>
      <xdr:row>18</xdr:row>
      <xdr:rowOff>758</xdr:rowOff>
    </xdr:from>
    <xdr:to>
      <xdr:col>9</xdr:col>
      <xdr:colOff>94775</xdr:colOff>
      <xdr:row>22</xdr:row>
      <xdr:rowOff>38669</xdr:rowOff>
    </xdr:to>
    <xdr:sp macro="" textlink="">
      <xdr:nvSpPr>
        <xdr:cNvPr id="19" name="Rectangle: Rounded Corners 18">
          <a:extLst>
            <a:ext uri="{FF2B5EF4-FFF2-40B4-BE49-F238E27FC236}">
              <a16:creationId xmlns:a16="http://schemas.microsoft.com/office/drawing/2014/main" id="{4576FEEB-C945-48AB-B784-029BF9274520}"/>
            </a:ext>
          </a:extLst>
        </xdr:cNvPr>
        <xdr:cNvSpPr/>
      </xdr:nvSpPr>
      <xdr:spPr>
        <a:xfrm>
          <a:off x="3241342" y="3242101"/>
          <a:ext cx="2824329" cy="75821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56867</xdr:colOff>
      <xdr:row>18</xdr:row>
      <xdr:rowOff>1516</xdr:rowOff>
    </xdr:from>
    <xdr:to>
      <xdr:col>14</xdr:col>
      <xdr:colOff>217987</xdr:colOff>
      <xdr:row>22</xdr:row>
      <xdr:rowOff>39427</xdr:rowOff>
    </xdr:to>
    <xdr:sp macro="" textlink="">
      <xdr:nvSpPr>
        <xdr:cNvPr id="20" name="Rectangle: Rounded Corners 19">
          <a:extLst>
            <a:ext uri="{FF2B5EF4-FFF2-40B4-BE49-F238E27FC236}">
              <a16:creationId xmlns:a16="http://schemas.microsoft.com/office/drawing/2014/main" id="{F3036B33-0850-49E6-ACA3-4A33E4F27FAE}"/>
            </a:ext>
          </a:extLst>
        </xdr:cNvPr>
        <xdr:cNvSpPr/>
      </xdr:nvSpPr>
      <xdr:spPr>
        <a:xfrm>
          <a:off x="6691195" y="3242859"/>
          <a:ext cx="2814852" cy="75821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179456</xdr:colOff>
      <xdr:row>22</xdr:row>
      <xdr:rowOff>170597</xdr:rowOff>
    </xdr:from>
    <xdr:to>
      <xdr:col>14</xdr:col>
      <xdr:colOff>606567</xdr:colOff>
      <xdr:row>38</xdr:row>
      <xdr:rowOff>82826</xdr:rowOff>
    </xdr:to>
    <xdr:sp macro="" textlink="">
      <xdr:nvSpPr>
        <xdr:cNvPr id="21" name="Rectangle 20">
          <a:extLst>
            <a:ext uri="{FF2B5EF4-FFF2-40B4-BE49-F238E27FC236}">
              <a16:creationId xmlns:a16="http://schemas.microsoft.com/office/drawing/2014/main" id="{A392DC8D-15C9-4260-8DD3-0E89E785B2FD}"/>
            </a:ext>
          </a:extLst>
        </xdr:cNvPr>
        <xdr:cNvSpPr/>
      </xdr:nvSpPr>
      <xdr:spPr>
        <a:xfrm>
          <a:off x="2829891" y="4118640"/>
          <a:ext cx="7053198" cy="278353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36378</xdr:colOff>
      <xdr:row>14</xdr:row>
      <xdr:rowOff>56029</xdr:rowOff>
    </xdr:from>
    <xdr:to>
      <xdr:col>25</xdr:col>
      <xdr:colOff>542836</xdr:colOff>
      <xdr:row>25</xdr:row>
      <xdr:rowOff>138855</xdr:rowOff>
    </xdr:to>
    <xdr:sp macro="" textlink="">
      <xdr:nvSpPr>
        <xdr:cNvPr id="22" name="Rectangle 21">
          <a:extLst>
            <a:ext uri="{FF2B5EF4-FFF2-40B4-BE49-F238E27FC236}">
              <a16:creationId xmlns:a16="http://schemas.microsoft.com/office/drawing/2014/main" id="{9ADFA97D-42E9-4B81-9747-38DDF5843ECF}"/>
            </a:ext>
          </a:extLst>
        </xdr:cNvPr>
        <xdr:cNvSpPr/>
      </xdr:nvSpPr>
      <xdr:spPr>
        <a:xfrm>
          <a:off x="9981599" y="2540000"/>
          <a:ext cx="7136605" cy="20345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38049</xdr:colOff>
      <xdr:row>26</xdr:row>
      <xdr:rowOff>88103</xdr:rowOff>
    </xdr:from>
    <xdr:to>
      <xdr:col>25</xdr:col>
      <xdr:colOff>538691</xdr:colOff>
      <xdr:row>38</xdr:row>
      <xdr:rowOff>130734</xdr:rowOff>
    </xdr:to>
    <xdr:sp macro="" textlink="">
      <xdr:nvSpPr>
        <xdr:cNvPr id="23" name="Rectangle 22">
          <a:extLst>
            <a:ext uri="{FF2B5EF4-FFF2-40B4-BE49-F238E27FC236}">
              <a16:creationId xmlns:a16="http://schemas.microsoft.com/office/drawing/2014/main" id="{993C490A-BC0F-4528-B34C-A1AA403FF0A1}"/>
            </a:ext>
          </a:extLst>
        </xdr:cNvPr>
        <xdr:cNvSpPr/>
      </xdr:nvSpPr>
      <xdr:spPr>
        <a:xfrm>
          <a:off x="9983270" y="4701191"/>
          <a:ext cx="7130789" cy="21717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341195</xdr:colOff>
      <xdr:row>13</xdr:row>
      <xdr:rowOff>56866</xdr:rowOff>
    </xdr:from>
    <xdr:to>
      <xdr:col>3</xdr:col>
      <xdr:colOff>265372</xdr:colOff>
      <xdr:row>15</xdr:row>
      <xdr:rowOff>161120</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A2BA2561-F428-41DF-9F8E-0EC25494AB5E}"/>
            </a:ext>
          </a:extLst>
        </xdr:cNvPr>
        <xdr:cNvSpPr/>
      </xdr:nvSpPr>
      <xdr:spPr>
        <a:xfrm>
          <a:off x="341195" y="2397836"/>
          <a:ext cx="1914476" cy="464403"/>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DashBoard</a:t>
          </a:r>
        </a:p>
      </xdr:txBody>
    </xdr:sp>
    <xdr:clientData/>
  </xdr:twoCellAnchor>
  <xdr:twoCellAnchor>
    <xdr:from>
      <xdr:col>0</xdr:col>
      <xdr:colOff>347639</xdr:colOff>
      <xdr:row>16</xdr:row>
      <xdr:rowOff>145483</xdr:rowOff>
    </xdr:from>
    <xdr:to>
      <xdr:col>3</xdr:col>
      <xdr:colOff>271816</xdr:colOff>
      <xdr:row>19</xdr:row>
      <xdr:rowOff>69662</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6D2C5595-1380-4440-B7E0-D8DFFB194BDF}"/>
            </a:ext>
          </a:extLst>
        </xdr:cNvPr>
        <xdr:cNvSpPr/>
      </xdr:nvSpPr>
      <xdr:spPr>
        <a:xfrm>
          <a:off x="347639" y="3026677"/>
          <a:ext cx="1914476" cy="464403"/>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Products</a:t>
          </a:r>
        </a:p>
      </xdr:txBody>
    </xdr:sp>
    <xdr:clientData/>
  </xdr:twoCellAnchor>
  <xdr:twoCellAnchor>
    <xdr:from>
      <xdr:col>0</xdr:col>
      <xdr:colOff>357117</xdr:colOff>
      <xdr:row>20</xdr:row>
      <xdr:rowOff>31749</xdr:rowOff>
    </xdr:from>
    <xdr:to>
      <xdr:col>3</xdr:col>
      <xdr:colOff>281294</xdr:colOff>
      <xdr:row>22</xdr:row>
      <xdr:rowOff>136003</xdr:rowOff>
    </xdr:to>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463F1B6E-FAC9-4ACC-9CA9-2886C205E7AC}"/>
            </a:ext>
          </a:extLst>
        </xdr:cNvPr>
        <xdr:cNvSpPr/>
      </xdr:nvSpPr>
      <xdr:spPr>
        <a:xfrm>
          <a:off x="357117" y="3633242"/>
          <a:ext cx="1914476" cy="464403"/>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a:t>
          </a:r>
          <a:r>
            <a:rPr lang="en-IN" sz="2000" baseline="0"/>
            <a:t> </a:t>
          </a:r>
          <a:r>
            <a:rPr lang="en-IN" sz="2000" b="1">
              <a:solidFill>
                <a:schemeClr val="lt1"/>
              </a:solidFill>
              <a:latin typeface="+mn-lt"/>
              <a:ea typeface="+mn-ea"/>
              <a:cs typeface="+mn-cs"/>
            </a:rPr>
            <a:t>Mans</a:t>
          </a:r>
        </a:p>
      </xdr:txBody>
    </xdr:sp>
    <xdr:clientData/>
  </xdr:twoCellAnchor>
  <xdr:twoCellAnchor>
    <xdr:from>
      <xdr:col>0</xdr:col>
      <xdr:colOff>338921</xdr:colOff>
      <xdr:row>23</xdr:row>
      <xdr:rowOff>108328</xdr:rowOff>
    </xdr:from>
    <xdr:to>
      <xdr:col>3</xdr:col>
      <xdr:colOff>263098</xdr:colOff>
      <xdr:row>26</xdr:row>
      <xdr:rowOff>32507</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E2D7B12E-CCCA-4ECC-9AAB-509E7F7CB1ED}"/>
            </a:ext>
          </a:extLst>
        </xdr:cNvPr>
        <xdr:cNvSpPr/>
      </xdr:nvSpPr>
      <xdr:spPr>
        <a:xfrm>
          <a:off x="338921" y="4250044"/>
          <a:ext cx="1914476" cy="464403"/>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About</a:t>
          </a:r>
        </a:p>
      </xdr:txBody>
    </xdr:sp>
    <xdr:clientData/>
  </xdr:twoCellAnchor>
  <xdr:twoCellAnchor>
    <xdr:from>
      <xdr:col>6</xdr:col>
      <xdr:colOff>123207</xdr:colOff>
      <xdr:row>18</xdr:row>
      <xdr:rowOff>29192</xdr:rowOff>
    </xdr:from>
    <xdr:to>
      <xdr:col>9</xdr:col>
      <xdr:colOff>94775</xdr:colOff>
      <xdr:row>20</xdr:row>
      <xdr:rowOff>114491</xdr:rowOff>
    </xdr:to>
    <xdr:sp macro="" textlink="">
      <xdr:nvSpPr>
        <xdr:cNvPr id="30" name="Rectangle 29">
          <a:extLst>
            <a:ext uri="{FF2B5EF4-FFF2-40B4-BE49-F238E27FC236}">
              <a16:creationId xmlns:a16="http://schemas.microsoft.com/office/drawing/2014/main" id="{8A9C6976-64A2-46DD-B114-A21ABCE7AC28}"/>
            </a:ext>
          </a:extLst>
        </xdr:cNvPr>
        <xdr:cNvSpPr/>
      </xdr:nvSpPr>
      <xdr:spPr>
        <a:xfrm>
          <a:off x="4103804" y="3270535"/>
          <a:ext cx="1961867" cy="4454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2">
                  <a:lumMod val="50000"/>
                </a:schemeClr>
              </a:solidFill>
            </a:rPr>
            <a:t>Total</a:t>
          </a:r>
          <a:r>
            <a:rPr lang="en-IN" sz="1800" b="1" baseline="0">
              <a:solidFill>
                <a:schemeClr val="accent2">
                  <a:lumMod val="50000"/>
                </a:schemeClr>
              </a:solidFill>
            </a:rPr>
            <a:t> Amount</a:t>
          </a:r>
          <a:endParaRPr lang="en-IN" sz="2000" b="1">
            <a:solidFill>
              <a:schemeClr val="accent2">
                <a:lumMod val="50000"/>
              </a:schemeClr>
            </a:solidFill>
          </a:endParaRPr>
        </a:p>
      </xdr:txBody>
    </xdr:sp>
    <xdr:clientData/>
  </xdr:twoCellAnchor>
  <xdr:twoCellAnchor>
    <xdr:from>
      <xdr:col>11</xdr:col>
      <xdr:colOff>540225</xdr:colOff>
      <xdr:row>18</xdr:row>
      <xdr:rowOff>39427</xdr:rowOff>
    </xdr:from>
    <xdr:to>
      <xdr:col>14</xdr:col>
      <xdr:colOff>189552</xdr:colOff>
      <xdr:row>20</xdr:row>
      <xdr:rowOff>124726</xdr:rowOff>
    </xdr:to>
    <xdr:sp macro="" textlink="">
      <xdr:nvSpPr>
        <xdr:cNvPr id="31" name="Rectangle 30">
          <a:extLst>
            <a:ext uri="{FF2B5EF4-FFF2-40B4-BE49-F238E27FC236}">
              <a16:creationId xmlns:a16="http://schemas.microsoft.com/office/drawing/2014/main" id="{E370B2E5-0F9F-477A-87D8-2EC26C5FAF19}"/>
            </a:ext>
          </a:extLst>
        </xdr:cNvPr>
        <xdr:cNvSpPr/>
      </xdr:nvSpPr>
      <xdr:spPr>
        <a:xfrm>
          <a:off x="7837986" y="3280770"/>
          <a:ext cx="1639626" cy="4454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5">
                  <a:lumMod val="50000"/>
                </a:schemeClr>
              </a:solidFill>
            </a:rPr>
            <a:t>Total Sales</a:t>
          </a:r>
        </a:p>
      </xdr:txBody>
    </xdr:sp>
    <xdr:clientData/>
  </xdr:twoCellAnchor>
  <xdr:twoCellAnchor editAs="oneCell">
    <xdr:from>
      <xdr:col>10</xdr:col>
      <xdr:colOff>199031</xdr:colOff>
      <xdr:row>18</xdr:row>
      <xdr:rowOff>47389</xdr:rowOff>
    </xdr:from>
    <xdr:to>
      <xdr:col>11</xdr:col>
      <xdr:colOff>277611</xdr:colOff>
      <xdr:row>22</xdr:row>
      <xdr:rowOff>73609</xdr:rowOff>
    </xdr:to>
    <xdr:pic>
      <xdr:nvPicPr>
        <xdr:cNvPr id="33" name="Graphic 32" descr="Business Growth">
          <a:extLst>
            <a:ext uri="{FF2B5EF4-FFF2-40B4-BE49-F238E27FC236}">
              <a16:creationId xmlns:a16="http://schemas.microsoft.com/office/drawing/2014/main" id="{B49AB690-2E2C-4094-9E09-B811125430F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793262" y="3344504"/>
          <a:ext cx="725765" cy="742169"/>
        </a:xfrm>
        <a:prstGeom prst="rect">
          <a:avLst/>
        </a:prstGeom>
      </xdr:spPr>
    </xdr:pic>
    <xdr:clientData/>
  </xdr:twoCellAnchor>
  <xdr:twoCellAnchor editAs="oneCell">
    <xdr:from>
      <xdr:col>5</xdr:col>
      <xdr:colOff>94778</xdr:colOff>
      <xdr:row>18</xdr:row>
      <xdr:rowOff>170598</xdr:rowOff>
    </xdr:from>
    <xdr:to>
      <xdr:col>5</xdr:col>
      <xdr:colOff>606569</xdr:colOff>
      <xdr:row>21</xdr:row>
      <xdr:rowOff>156655</xdr:rowOff>
    </xdr:to>
    <xdr:pic>
      <xdr:nvPicPr>
        <xdr:cNvPr id="35" name="Graphic 34" descr="Rupee">
          <a:extLst>
            <a:ext uri="{FF2B5EF4-FFF2-40B4-BE49-F238E27FC236}">
              <a16:creationId xmlns:a16="http://schemas.microsoft.com/office/drawing/2014/main" id="{8E3F6FC8-543B-47A5-9F10-760647BDCE6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391893" y="3467713"/>
          <a:ext cx="511791" cy="521087"/>
        </a:xfrm>
        <a:prstGeom prst="rect">
          <a:avLst/>
        </a:prstGeom>
      </xdr:spPr>
    </xdr:pic>
    <xdr:clientData/>
  </xdr:twoCellAnchor>
  <xdr:twoCellAnchor>
    <xdr:from>
      <xdr:col>15</xdr:col>
      <xdr:colOff>45716</xdr:colOff>
      <xdr:row>14</xdr:row>
      <xdr:rowOff>161119</xdr:rowOff>
    </xdr:from>
    <xdr:to>
      <xdr:col>25</xdr:col>
      <xdr:colOff>386522</xdr:colOff>
      <xdr:row>24</xdr:row>
      <xdr:rowOff>165652</xdr:rowOff>
    </xdr:to>
    <xdr:graphicFrame macro="">
      <xdr:nvGraphicFramePr>
        <xdr:cNvPr id="41" name="Chart 40">
          <a:extLst>
            <a:ext uri="{FF2B5EF4-FFF2-40B4-BE49-F238E27FC236}">
              <a16:creationId xmlns:a16="http://schemas.microsoft.com/office/drawing/2014/main" id="{43B92579-795E-4D4E-8B54-925355CB7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651865</xdr:colOff>
      <xdr:row>14</xdr:row>
      <xdr:rowOff>106894</xdr:rowOff>
    </xdr:from>
    <xdr:to>
      <xdr:col>19</xdr:col>
      <xdr:colOff>151223</xdr:colOff>
      <xdr:row>16</xdr:row>
      <xdr:rowOff>94359</xdr:rowOff>
    </xdr:to>
    <xdr:sp macro="" textlink="">
      <xdr:nvSpPr>
        <xdr:cNvPr id="38" name="Rectangle 37">
          <a:extLst>
            <a:ext uri="{FF2B5EF4-FFF2-40B4-BE49-F238E27FC236}">
              <a16:creationId xmlns:a16="http://schemas.microsoft.com/office/drawing/2014/main" id="{2F04D507-5CB1-441F-B594-1B5BA088BFCA}"/>
            </a:ext>
          </a:extLst>
        </xdr:cNvPr>
        <xdr:cNvSpPr/>
      </xdr:nvSpPr>
      <xdr:spPr>
        <a:xfrm>
          <a:off x="10597086" y="2590865"/>
          <a:ext cx="2151416" cy="3423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Sales by Month</a:t>
          </a:r>
        </a:p>
      </xdr:txBody>
    </xdr:sp>
    <xdr:clientData/>
  </xdr:twoCellAnchor>
  <xdr:twoCellAnchor>
    <xdr:from>
      <xdr:col>15</xdr:col>
      <xdr:colOff>388582</xdr:colOff>
      <xdr:row>26</xdr:row>
      <xdr:rowOff>77215</xdr:rowOff>
    </xdr:from>
    <xdr:to>
      <xdr:col>19</xdr:col>
      <xdr:colOff>28432</xdr:colOff>
      <xdr:row>28</xdr:row>
      <xdr:rowOff>159866</xdr:rowOff>
    </xdr:to>
    <xdr:sp macro="" textlink="">
      <xdr:nvSpPr>
        <xdr:cNvPr id="39" name="Rectangle 38">
          <a:extLst>
            <a:ext uri="{FF2B5EF4-FFF2-40B4-BE49-F238E27FC236}">
              <a16:creationId xmlns:a16="http://schemas.microsoft.com/office/drawing/2014/main" id="{F715F72C-1DA4-42D9-B23A-EE32971E356A}"/>
            </a:ext>
          </a:extLst>
        </xdr:cNvPr>
        <xdr:cNvSpPr/>
      </xdr:nvSpPr>
      <xdr:spPr>
        <a:xfrm>
          <a:off x="10333803" y="4690303"/>
          <a:ext cx="2291908" cy="4375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Sales by Places</a:t>
          </a:r>
        </a:p>
      </xdr:txBody>
    </xdr:sp>
    <xdr:clientData/>
  </xdr:twoCellAnchor>
  <xdr:twoCellAnchor>
    <xdr:from>
      <xdr:col>4</xdr:col>
      <xdr:colOff>220868</xdr:colOff>
      <xdr:row>24</xdr:row>
      <xdr:rowOff>61191</xdr:rowOff>
    </xdr:from>
    <xdr:to>
      <xdr:col>14</xdr:col>
      <xdr:colOff>587610</xdr:colOff>
      <xdr:row>38</xdr:row>
      <xdr:rowOff>82825</xdr:rowOff>
    </xdr:to>
    <xdr:graphicFrame macro="">
      <xdr:nvGraphicFramePr>
        <xdr:cNvPr id="43" name="Chart 42">
          <a:extLst>
            <a:ext uri="{FF2B5EF4-FFF2-40B4-BE49-F238E27FC236}">
              <a16:creationId xmlns:a16="http://schemas.microsoft.com/office/drawing/2014/main" id="{DD0217E8-27F2-46F2-9654-A79516AC1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28433</xdr:colOff>
      <xdr:row>23</xdr:row>
      <xdr:rowOff>56865</xdr:rowOff>
    </xdr:from>
    <xdr:to>
      <xdr:col>10</xdr:col>
      <xdr:colOff>104253</xdr:colOff>
      <xdr:row>25</xdr:row>
      <xdr:rowOff>142164</xdr:rowOff>
    </xdr:to>
    <xdr:sp macro="" textlink="">
      <xdr:nvSpPr>
        <xdr:cNvPr id="40" name="Rectangle 39">
          <a:extLst>
            <a:ext uri="{FF2B5EF4-FFF2-40B4-BE49-F238E27FC236}">
              <a16:creationId xmlns:a16="http://schemas.microsoft.com/office/drawing/2014/main" id="{4FC08864-FEC6-4C27-8FA9-064CEFB5D38F}"/>
            </a:ext>
          </a:extLst>
        </xdr:cNvPr>
        <xdr:cNvSpPr/>
      </xdr:nvSpPr>
      <xdr:spPr>
        <a:xfrm>
          <a:off x="4672463" y="4198581"/>
          <a:ext cx="2066118" cy="4454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Sales</a:t>
          </a:r>
          <a:r>
            <a:rPr lang="en-IN" sz="1800" b="1" baseline="0">
              <a:solidFill>
                <a:schemeClr val="tx2">
                  <a:lumMod val="90000"/>
                  <a:lumOff val="10000"/>
                </a:schemeClr>
              </a:solidFill>
            </a:rPr>
            <a:t> of Products</a:t>
          </a:r>
          <a:endParaRPr lang="en-IN" sz="1800" b="1">
            <a:solidFill>
              <a:schemeClr val="tx2">
                <a:lumMod val="90000"/>
                <a:lumOff val="10000"/>
              </a:schemeClr>
            </a:solidFill>
          </a:endParaRPr>
        </a:p>
      </xdr:txBody>
    </xdr:sp>
    <xdr:clientData/>
  </xdr:twoCellAnchor>
  <xdr:twoCellAnchor>
    <xdr:from>
      <xdr:col>12</xdr:col>
      <xdr:colOff>17887</xdr:colOff>
      <xdr:row>20</xdr:row>
      <xdr:rowOff>26831</xdr:rowOff>
    </xdr:from>
    <xdr:to>
      <xdr:col>13</xdr:col>
      <xdr:colOff>645678</xdr:colOff>
      <xdr:row>22</xdr:row>
      <xdr:rowOff>8458</xdr:rowOff>
    </xdr:to>
    <xdr:sp macro="" textlink="Pivots!C41">
      <xdr:nvSpPr>
        <xdr:cNvPr id="46" name="Rectangle 45">
          <a:extLst>
            <a:ext uri="{FF2B5EF4-FFF2-40B4-BE49-F238E27FC236}">
              <a16:creationId xmlns:a16="http://schemas.microsoft.com/office/drawing/2014/main" id="{CA2BECA4-BA2D-44CE-8FA6-C71FF819705A}"/>
            </a:ext>
          </a:extLst>
        </xdr:cNvPr>
        <xdr:cNvSpPr/>
      </xdr:nvSpPr>
      <xdr:spPr>
        <a:xfrm>
          <a:off x="7959859" y="3604296"/>
          <a:ext cx="1289622" cy="3393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0078A16-69DD-47AE-AB61-857E7FA0B113}" type="TxLink">
            <a:rPr lang="en-US" sz="1400" b="1" i="0" u="none" strike="noStrike">
              <a:solidFill>
                <a:srgbClr val="000000"/>
              </a:solidFill>
              <a:latin typeface="Aptos Narrow"/>
            </a:rPr>
            <a:pPr algn="ctr"/>
            <a:t>278</a:t>
          </a:fld>
          <a:endParaRPr lang="en-IN" sz="1800" b="1">
            <a:solidFill>
              <a:sysClr val="windowText" lastClr="000000"/>
            </a:solidFill>
          </a:endParaRPr>
        </a:p>
      </xdr:txBody>
    </xdr:sp>
    <xdr:clientData/>
  </xdr:twoCellAnchor>
  <xdr:twoCellAnchor>
    <xdr:from>
      <xdr:col>6</xdr:col>
      <xdr:colOff>257361</xdr:colOff>
      <xdr:row>20</xdr:row>
      <xdr:rowOff>2358</xdr:rowOff>
    </xdr:from>
    <xdr:to>
      <xdr:col>8</xdr:col>
      <xdr:colOff>581337</xdr:colOff>
      <xdr:row>21</xdr:row>
      <xdr:rowOff>116266</xdr:rowOff>
    </xdr:to>
    <xdr:sp macro="" textlink="Pivots!C38">
      <xdr:nvSpPr>
        <xdr:cNvPr id="49" name="Rectangle 48">
          <a:extLst>
            <a:ext uri="{FF2B5EF4-FFF2-40B4-BE49-F238E27FC236}">
              <a16:creationId xmlns:a16="http://schemas.microsoft.com/office/drawing/2014/main" id="{3853518E-9BFE-454C-9FD9-9A4DCF9858A8}"/>
            </a:ext>
          </a:extLst>
        </xdr:cNvPr>
        <xdr:cNvSpPr/>
      </xdr:nvSpPr>
      <xdr:spPr>
        <a:xfrm>
          <a:off x="4228347" y="3579823"/>
          <a:ext cx="1647638" cy="2927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4694B7-A03C-41F2-87F7-82A0BB280005}" type="TxLink">
            <a:rPr lang="en-US" sz="1400" b="1" i="0" u="none" strike="noStrike">
              <a:solidFill>
                <a:srgbClr val="000000"/>
              </a:solidFill>
              <a:latin typeface="Aptos Narrow"/>
            </a:rPr>
            <a:pPr algn="ctr"/>
            <a:t> 11,87,31,893 </a:t>
          </a:fld>
          <a:endParaRPr lang="en-IN" sz="1800" b="1">
            <a:solidFill>
              <a:sysClr val="windowText" lastClr="000000"/>
            </a:solidFill>
          </a:endParaRPr>
        </a:p>
      </xdr:txBody>
    </xdr:sp>
    <xdr:clientData/>
  </xdr:twoCellAnchor>
  <xdr:twoCellAnchor>
    <xdr:from>
      <xdr:col>15</xdr:col>
      <xdr:colOff>53662</xdr:colOff>
      <xdr:row>27</xdr:row>
      <xdr:rowOff>154960</xdr:rowOff>
    </xdr:from>
    <xdr:to>
      <xdr:col>25</xdr:col>
      <xdr:colOff>509787</xdr:colOff>
      <xdr:row>37</xdr:row>
      <xdr:rowOff>29928</xdr:rowOff>
    </xdr:to>
    <xdr:graphicFrame macro="">
      <xdr:nvGraphicFramePr>
        <xdr:cNvPr id="50" name="Chart 49">
          <a:extLst>
            <a:ext uri="{FF2B5EF4-FFF2-40B4-BE49-F238E27FC236}">
              <a16:creationId xmlns:a16="http://schemas.microsoft.com/office/drawing/2014/main" id="{A7D211D9-94BC-4DAE-BB1A-3DCEB8085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431800</xdr:colOff>
      <xdr:row>0</xdr:row>
      <xdr:rowOff>0</xdr:rowOff>
    </xdr:from>
    <xdr:to>
      <xdr:col>8</xdr:col>
      <xdr:colOff>260350</xdr:colOff>
      <xdr:row>13</xdr:row>
      <xdr:rowOff>19050</xdr:rowOff>
    </xdr:to>
    <xdr:graphicFrame macro="">
      <xdr:nvGraphicFramePr>
        <xdr:cNvPr id="15" name="Chart 14">
          <a:extLst>
            <a:ext uri="{FF2B5EF4-FFF2-40B4-BE49-F238E27FC236}">
              <a16:creationId xmlns:a16="http://schemas.microsoft.com/office/drawing/2014/main" id="{94735F04-623E-4CA3-B6A4-870533F62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14</xdr:row>
      <xdr:rowOff>107949</xdr:rowOff>
    </xdr:from>
    <xdr:to>
      <xdr:col>9</xdr:col>
      <xdr:colOff>304800</xdr:colOff>
      <xdr:row>23</xdr:row>
      <xdr:rowOff>171450</xdr:rowOff>
    </xdr:to>
    <xdr:graphicFrame macro="">
      <xdr:nvGraphicFramePr>
        <xdr:cNvPr id="16" name="Chart 15">
          <a:extLst>
            <a:ext uri="{FF2B5EF4-FFF2-40B4-BE49-F238E27FC236}">
              <a16:creationId xmlns:a16="http://schemas.microsoft.com/office/drawing/2014/main" id="{4E8B80F6-9A60-42D8-9D5A-9270B9E93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425450</xdr:colOff>
      <xdr:row>24</xdr:row>
      <xdr:rowOff>101599</xdr:rowOff>
    </xdr:from>
    <xdr:to>
      <xdr:col>9</xdr:col>
      <xdr:colOff>152400</xdr:colOff>
      <xdr:row>33</xdr:row>
      <xdr:rowOff>171450</xdr:rowOff>
    </xdr:to>
    <xdr:graphicFrame macro="">
      <xdr:nvGraphicFramePr>
        <xdr:cNvPr id="17" name="Chart 16">
          <a:extLst>
            <a:ext uri="{FF2B5EF4-FFF2-40B4-BE49-F238E27FC236}">
              <a16:creationId xmlns:a16="http://schemas.microsoft.com/office/drawing/2014/main" id="{917912CA-05DE-4EAE-94D4-34DDC460A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755650</xdr:colOff>
      <xdr:row>41</xdr:row>
      <xdr:rowOff>88899</xdr:rowOff>
    </xdr:from>
    <xdr:to>
      <xdr:col>9</xdr:col>
      <xdr:colOff>38100</xdr:colOff>
      <xdr:row>48</xdr:row>
      <xdr:rowOff>139700</xdr:rowOff>
    </xdr:to>
    <xdr:graphicFrame macro="">
      <xdr:nvGraphicFramePr>
        <xdr:cNvPr id="18" name="Chart 17">
          <a:extLst>
            <a:ext uri="{FF2B5EF4-FFF2-40B4-BE49-F238E27FC236}">
              <a16:creationId xmlns:a16="http://schemas.microsoft.com/office/drawing/2014/main" id="{2D61A96E-68D3-4A84-9526-87DF497DC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692150</xdr:colOff>
      <xdr:row>49</xdr:row>
      <xdr:rowOff>152399</xdr:rowOff>
    </xdr:from>
    <xdr:to>
      <xdr:col>9</xdr:col>
      <xdr:colOff>171450</xdr:colOff>
      <xdr:row>57</xdr:row>
      <xdr:rowOff>114300</xdr:rowOff>
    </xdr:to>
    <xdr:graphicFrame macro="">
      <xdr:nvGraphicFramePr>
        <xdr:cNvPr id="19" name="Chart 18">
          <a:extLst>
            <a:ext uri="{FF2B5EF4-FFF2-40B4-BE49-F238E27FC236}">
              <a16:creationId xmlns:a16="http://schemas.microsoft.com/office/drawing/2014/main" id="{4E07B5E5-5DF4-47EE-BD90-71D4D72DF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673100</xdr:colOff>
      <xdr:row>58</xdr:row>
      <xdr:rowOff>76201</xdr:rowOff>
    </xdr:from>
    <xdr:to>
      <xdr:col>9</xdr:col>
      <xdr:colOff>114300</xdr:colOff>
      <xdr:row>68</xdr:row>
      <xdr:rowOff>107950</xdr:rowOff>
    </xdr:to>
    <xdr:graphicFrame macro="">
      <xdr:nvGraphicFramePr>
        <xdr:cNvPr id="20" name="Chart 19">
          <a:extLst>
            <a:ext uri="{FF2B5EF4-FFF2-40B4-BE49-F238E27FC236}">
              <a16:creationId xmlns:a16="http://schemas.microsoft.com/office/drawing/2014/main" id="{BC53A0B6-3E23-4E5D-90C8-3BA5DC925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685800</xdr:colOff>
      <xdr:row>69</xdr:row>
      <xdr:rowOff>158749</xdr:rowOff>
    </xdr:from>
    <xdr:to>
      <xdr:col>8</xdr:col>
      <xdr:colOff>501650</xdr:colOff>
      <xdr:row>78</xdr:row>
      <xdr:rowOff>130174</xdr:rowOff>
    </xdr:to>
    <xdr:graphicFrame macro="">
      <xdr:nvGraphicFramePr>
        <xdr:cNvPr id="21" name="Chart 20">
          <a:extLst>
            <a:ext uri="{FF2B5EF4-FFF2-40B4-BE49-F238E27FC236}">
              <a16:creationId xmlns:a16="http://schemas.microsoft.com/office/drawing/2014/main" id="{E6BF06CD-BEDA-4CF6-808E-60BE31410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685800</xdr:colOff>
      <xdr:row>79</xdr:row>
      <xdr:rowOff>120650</xdr:rowOff>
    </xdr:from>
    <xdr:to>
      <xdr:col>8</xdr:col>
      <xdr:colOff>565150</xdr:colOff>
      <xdr:row>88</xdr:row>
      <xdr:rowOff>73024</xdr:rowOff>
    </xdr:to>
    <xdr:graphicFrame macro="">
      <xdr:nvGraphicFramePr>
        <xdr:cNvPr id="22" name="Chart 21">
          <a:extLst>
            <a:ext uri="{FF2B5EF4-FFF2-40B4-BE49-F238E27FC236}">
              <a16:creationId xmlns:a16="http://schemas.microsoft.com/office/drawing/2014/main" id="{8C6ED674-7C07-44F6-9301-D927ADCFA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692150</xdr:colOff>
      <xdr:row>90</xdr:row>
      <xdr:rowOff>25399</xdr:rowOff>
    </xdr:from>
    <xdr:to>
      <xdr:col>9</xdr:col>
      <xdr:colOff>88900</xdr:colOff>
      <xdr:row>103</xdr:row>
      <xdr:rowOff>22224</xdr:rowOff>
    </xdr:to>
    <xdr:graphicFrame macro="">
      <xdr:nvGraphicFramePr>
        <xdr:cNvPr id="23" name="Chart 22">
          <a:extLst>
            <a:ext uri="{FF2B5EF4-FFF2-40B4-BE49-F238E27FC236}">
              <a16:creationId xmlns:a16="http://schemas.microsoft.com/office/drawing/2014/main" id="{505E099F-0F36-4C90-A0C4-A5B8E7A8D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0</xdr:row>
      <xdr:rowOff>31750</xdr:rowOff>
    </xdr:from>
    <xdr:to>
      <xdr:col>25</xdr:col>
      <xdr:colOff>653676</xdr:colOff>
      <xdr:row>39</xdr:row>
      <xdr:rowOff>93383</xdr:rowOff>
    </xdr:to>
    <xdr:sp macro="" textlink="">
      <xdr:nvSpPr>
        <xdr:cNvPr id="2" name="Rectangle: Rounded Corners 1">
          <a:extLst>
            <a:ext uri="{FF2B5EF4-FFF2-40B4-BE49-F238E27FC236}">
              <a16:creationId xmlns:a16="http://schemas.microsoft.com/office/drawing/2014/main" id="{C2208E15-5306-46B9-A876-F86FFF170895}"/>
            </a:ext>
          </a:extLst>
        </xdr:cNvPr>
        <xdr:cNvSpPr/>
      </xdr:nvSpPr>
      <xdr:spPr>
        <a:xfrm>
          <a:off x="25400" y="31750"/>
          <a:ext cx="17138276" cy="6995833"/>
        </a:xfrm>
        <a:prstGeom prst="roundRect">
          <a:avLst>
            <a:gd name="adj" fmla="val 1852"/>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9478</xdr:colOff>
      <xdr:row>0</xdr:row>
      <xdr:rowOff>40969</xdr:rowOff>
    </xdr:from>
    <xdr:to>
      <xdr:col>25</xdr:col>
      <xdr:colOff>644478</xdr:colOff>
      <xdr:row>39</xdr:row>
      <xdr:rowOff>74706</xdr:rowOff>
    </xdr:to>
    <xdr:sp macro="" textlink="">
      <xdr:nvSpPr>
        <xdr:cNvPr id="3" name="Rectangle: Rounded Corners 2">
          <a:extLst>
            <a:ext uri="{FF2B5EF4-FFF2-40B4-BE49-F238E27FC236}">
              <a16:creationId xmlns:a16="http://schemas.microsoft.com/office/drawing/2014/main" id="{2CD5EEC3-7096-4B71-A85F-0608887A484A}"/>
            </a:ext>
          </a:extLst>
        </xdr:cNvPr>
        <xdr:cNvSpPr/>
      </xdr:nvSpPr>
      <xdr:spPr>
        <a:xfrm>
          <a:off x="2651078" y="40969"/>
          <a:ext cx="14503400" cy="6967937"/>
        </a:xfrm>
        <a:prstGeom prst="roundRect">
          <a:avLst>
            <a:gd name="adj" fmla="val 185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102721</xdr:colOff>
      <xdr:row>0</xdr:row>
      <xdr:rowOff>143689</xdr:rowOff>
    </xdr:from>
    <xdr:to>
      <xdr:col>14</xdr:col>
      <xdr:colOff>616323</xdr:colOff>
      <xdr:row>8</xdr:row>
      <xdr:rowOff>35092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F1AC0465-A2CE-4592-BE3B-1CF86CE7C2A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30662" y="143689"/>
              <a:ext cx="6555441" cy="13108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93103</xdr:colOff>
      <xdr:row>0</xdr:row>
      <xdr:rowOff>145222</xdr:rowOff>
    </xdr:from>
    <xdr:to>
      <xdr:col>25</xdr:col>
      <xdr:colOff>541617</xdr:colOff>
      <xdr:row>8</xdr:row>
      <xdr:rowOff>38124</xdr:rowOff>
    </xdr:to>
    <mc:AlternateContent xmlns:mc="http://schemas.openxmlformats.org/markup-compatibility/2006" xmlns:a14="http://schemas.microsoft.com/office/drawing/2010/main">
      <mc:Choice Requires="a14">
        <xdr:graphicFrame macro="">
          <xdr:nvGraphicFramePr>
            <xdr:cNvPr id="5" name="Place 1">
              <a:extLst>
                <a:ext uri="{FF2B5EF4-FFF2-40B4-BE49-F238E27FC236}">
                  <a16:creationId xmlns:a16="http://schemas.microsoft.com/office/drawing/2014/main" id="{673EE75A-C461-4D3E-A88E-8629592FF94E}"/>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9197882" y="145222"/>
              <a:ext cx="6490353" cy="131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121537</xdr:colOff>
      <xdr:row>8</xdr:row>
      <xdr:rowOff>97834</xdr:rowOff>
    </xdr:from>
    <xdr:to>
      <xdr:col>25</xdr:col>
      <xdr:colOff>550955</xdr:colOff>
      <xdr:row>13</xdr:row>
      <xdr:rowOff>158749</xdr:rowOff>
    </xdr:to>
    <mc:AlternateContent xmlns:mc="http://schemas.openxmlformats.org/markup-compatibility/2006" xmlns:a14="http://schemas.microsoft.com/office/drawing/2010/main">
      <mc:Choice Requires="a14">
        <xdr:graphicFrame macro="">
          <xdr:nvGraphicFramePr>
            <xdr:cNvPr id="6" name="Products 1">
              <a:extLst>
                <a:ext uri="{FF2B5EF4-FFF2-40B4-BE49-F238E27FC236}">
                  <a16:creationId xmlns:a16="http://schemas.microsoft.com/office/drawing/2014/main" id="{997DEF7C-02DE-4B66-858E-83E8EC0AF25A}"/>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549479" y="1741364"/>
              <a:ext cx="13148096" cy="882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104256</xdr:colOff>
      <xdr:row>14</xdr:row>
      <xdr:rowOff>146712</xdr:rowOff>
    </xdr:from>
    <xdr:to>
      <xdr:col>4</xdr:col>
      <xdr:colOff>568658</xdr:colOff>
      <xdr:row>17</xdr:row>
      <xdr:rowOff>70890</xdr:rowOff>
    </xdr:to>
    <xdr:pic>
      <xdr:nvPicPr>
        <xdr:cNvPr id="7" name="Graphic 6" descr="Bar chart">
          <a:extLst>
            <a:ext uri="{FF2B5EF4-FFF2-40B4-BE49-F238E27FC236}">
              <a16:creationId xmlns:a16="http://schemas.microsoft.com/office/drawing/2014/main" id="{9684C582-BC14-4FFD-A16A-B58415B0E0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45856" y="2635912"/>
          <a:ext cx="464402" cy="457578"/>
        </a:xfrm>
        <a:prstGeom prst="rect">
          <a:avLst/>
        </a:prstGeom>
      </xdr:spPr>
    </xdr:pic>
    <xdr:clientData/>
  </xdr:twoCellAnchor>
  <xdr:twoCellAnchor>
    <xdr:from>
      <xdr:col>4</xdr:col>
      <xdr:colOff>502313</xdr:colOff>
      <xdr:row>15</xdr:row>
      <xdr:rowOff>37911</xdr:rowOff>
    </xdr:from>
    <xdr:to>
      <xdr:col>6</xdr:col>
      <xdr:colOff>578970</xdr:colOff>
      <xdr:row>17</xdr:row>
      <xdr:rowOff>123210</xdr:rowOff>
    </xdr:to>
    <xdr:sp macro="" textlink="">
      <xdr:nvSpPr>
        <xdr:cNvPr id="8" name="Rectangle 7">
          <a:extLst>
            <a:ext uri="{FF2B5EF4-FFF2-40B4-BE49-F238E27FC236}">
              <a16:creationId xmlns:a16="http://schemas.microsoft.com/office/drawing/2014/main" id="{85A7BA33-6140-4C88-AFFB-03EF97C2E274}"/>
            </a:ext>
          </a:extLst>
        </xdr:cNvPr>
        <xdr:cNvSpPr/>
      </xdr:nvSpPr>
      <xdr:spPr>
        <a:xfrm>
          <a:off x="2930254" y="3119529"/>
          <a:ext cx="1290628" cy="496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90000"/>
                  <a:lumOff val="10000"/>
                </a:schemeClr>
              </a:solidFill>
            </a:rPr>
            <a:t>Analytics</a:t>
          </a:r>
        </a:p>
      </xdr:txBody>
    </xdr:sp>
    <xdr:clientData/>
  </xdr:twoCellAnchor>
  <xdr:twoCellAnchor>
    <xdr:from>
      <xdr:col>4</xdr:col>
      <xdr:colOff>179456</xdr:colOff>
      <xdr:row>17</xdr:row>
      <xdr:rowOff>110435</xdr:rowOff>
    </xdr:from>
    <xdr:to>
      <xdr:col>14</xdr:col>
      <xdr:colOff>606567</xdr:colOff>
      <xdr:row>38</xdr:row>
      <xdr:rowOff>82826</xdr:rowOff>
    </xdr:to>
    <xdr:sp macro="" textlink="">
      <xdr:nvSpPr>
        <xdr:cNvPr id="13" name="Rectangle 12">
          <a:extLst>
            <a:ext uri="{FF2B5EF4-FFF2-40B4-BE49-F238E27FC236}">
              <a16:creationId xmlns:a16="http://schemas.microsoft.com/office/drawing/2014/main" id="{842DBE5A-F705-4703-BE76-D1597E1CE28C}"/>
            </a:ext>
          </a:extLst>
        </xdr:cNvPr>
        <xdr:cNvSpPr/>
      </xdr:nvSpPr>
      <xdr:spPr>
        <a:xfrm>
          <a:off x="2829891" y="3082971"/>
          <a:ext cx="7053198" cy="36443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55218</xdr:colOff>
      <xdr:row>14</xdr:row>
      <xdr:rowOff>73623</xdr:rowOff>
    </xdr:from>
    <xdr:to>
      <xdr:col>25</xdr:col>
      <xdr:colOff>570580</xdr:colOff>
      <xdr:row>25</xdr:row>
      <xdr:rowOff>156449</xdr:rowOff>
    </xdr:to>
    <xdr:sp macro="" textlink="">
      <xdr:nvSpPr>
        <xdr:cNvPr id="14" name="Rectangle 13">
          <a:extLst>
            <a:ext uri="{FF2B5EF4-FFF2-40B4-BE49-F238E27FC236}">
              <a16:creationId xmlns:a16="http://schemas.microsoft.com/office/drawing/2014/main" id="{DE92D94E-EBEC-47DA-9E27-ABFCCF9C9BFF}"/>
            </a:ext>
          </a:extLst>
        </xdr:cNvPr>
        <xdr:cNvSpPr/>
      </xdr:nvSpPr>
      <xdr:spPr>
        <a:xfrm>
          <a:off x="9994348" y="2521594"/>
          <a:ext cx="7141449" cy="200623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47387</xdr:colOff>
      <xdr:row>26</xdr:row>
      <xdr:rowOff>110435</xdr:rowOff>
    </xdr:from>
    <xdr:to>
      <xdr:col>25</xdr:col>
      <xdr:colOff>548029</xdr:colOff>
      <xdr:row>38</xdr:row>
      <xdr:rowOff>92029</xdr:rowOff>
    </xdr:to>
    <xdr:sp macro="" textlink="">
      <xdr:nvSpPr>
        <xdr:cNvPr id="15" name="Rectangle 14">
          <a:extLst>
            <a:ext uri="{FF2B5EF4-FFF2-40B4-BE49-F238E27FC236}">
              <a16:creationId xmlns:a16="http://schemas.microsoft.com/office/drawing/2014/main" id="{04A2988F-5974-4A68-B49B-1A452D2A4937}"/>
            </a:ext>
          </a:extLst>
        </xdr:cNvPr>
        <xdr:cNvSpPr/>
      </xdr:nvSpPr>
      <xdr:spPr>
        <a:xfrm>
          <a:off x="9986517" y="4656667"/>
          <a:ext cx="7126729" cy="207985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341195</xdr:colOff>
      <xdr:row>13</xdr:row>
      <xdr:rowOff>56866</xdr:rowOff>
    </xdr:from>
    <xdr:to>
      <xdr:col>3</xdr:col>
      <xdr:colOff>265372</xdr:colOff>
      <xdr:row>15</xdr:row>
      <xdr:rowOff>161120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1881F46D-C491-416E-A9B1-4DCD6E2088B9}"/>
            </a:ext>
          </a:extLst>
        </xdr:cNvPr>
        <xdr:cNvSpPr/>
      </xdr:nvSpPr>
      <xdr:spPr>
        <a:xfrm>
          <a:off x="341195" y="2368266"/>
          <a:ext cx="1905377" cy="459854"/>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DashBoard</a:t>
          </a:r>
        </a:p>
      </xdr:txBody>
    </xdr:sp>
    <xdr:clientData/>
  </xdr:twoCellAnchor>
  <xdr:twoCellAnchor>
    <xdr:from>
      <xdr:col>0</xdr:col>
      <xdr:colOff>347639</xdr:colOff>
      <xdr:row>16</xdr:row>
      <xdr:rowOff>145483</xdr:rowOff>
    </xdr:from>
    <xdr:to>
      <xdr:col>3</xdr:col>
      <xdr:colOff>271816</xdr:colOff>
      <xdr:row>19</xdr:row>
      <xdr:rowOff>69662</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622F4FB4-09D7-4B93-9EF6-DDBE711918CA}"/>
            </a:ext>
          </a:extLst>
        </xdr:cNvPr>
        <xdr:cNvSpPr/>
      </xdr:nvSpPr>
      <xdr:spPr>
        <a:xfrm>
          <a:off x="347639" y="2990283"/>
          <a:ext cx="1905377" cy="45757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Products</a:t>
          </a:r>
        </a:p>
      </xdr:txBody>
    </xdr:sp>
    <xdr:clientData/>
  </xdr:twoCellAnchor>
  <xdr:twoCellAnchor>
    <xdr:from>
      <xdr:col>0</xdr:col>
      <xdr:colOff>357117</xdr:colOff>
      <xdr:row>20</xdr:row>
      <xdr:rowOff>31749</xdr:rowOff>
    </xdr:from>
    <xdr:to>
      <xdr:col>3</xdr:col>
      <xdr:colOff>281294</xdr:colOff>
      <xdr:row>22</xdr:row>
      <xdr:rowOff>136003</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C842BDEF-DFF1-4895-BE05-B9DF5EDB5FA0}"/>
            </a:ext>
          </a:extLst>
        </xdr:cNvPr>
        <xdr:cNvSpPr/>
      </xdr:nvSpPr>
      <xdr:spPr>
        <a:xfrm>
          <a:off x="357117" y="3587749"/>
          <a:ext cx="1905377" cy="459854"/>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a:t>
          </a:r>
          <a:r>
            <a:rPr lang="en-IN" sz="2000" baseline="0"/>
            <a:t> </a:t>
          </a:r>
          <a:r>
            <a:rPr lang="en-IN" sz="2000" b="1">
              <a:solidFill>
                <a:schemeClr val="lt1"/>
              </a:solidFill>
              <a:latin typeface="+mn-lt"/>
              <a:ea typeface="+mn-ea"/>
              <a:cs typeface="+mn-cs"/>
            </a:rPr>
            <a:t>Mans</a:t>
          </a:r>
        </a:p>
      </xdr:txBody>
    </xdr:sp>
    <xdr:clientData/>
  </xdr:twoCellAnchor>
  <xdr:twoCellAnchor>
    <xdr:from>
      <xdr:col>0</xdr:col>
      <xdr:colOff>338921</xdr:colOff>
      <xdr:row>23</xdr:row>
      <xdr:rowOff>108328</xdr:rowOff>
    </xdr:from>
    <xdr:to>
      <xdr:col>3</xdr:col>
      <xdr:colOff>263098</xdr:colOff>
      <xdr:row>26</xdr:row>
      <xdr:rowOff>32507</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2B783B7F-D31D-43B9-BA81-05B7DEACCB07}"/>
            </a:ext>
          </a:extLst>
        </xdr:cNvPr>
        <xdr:cNvSpPr/>
      </xdr:nvSpPr>
      <xdr:spPr>
        <a:xfrm>
          <a:off x="338921" y="4197728"/>
          <a:ext cx="1905377" cy="457579"/>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About</a:t>
          </a:r>
        </a:p>
      </xdr:txBody>
    </xdr:sp>
    <xdr:clientData/>
  </xdr:twoCellAnchor>
  <xdr:twoCellAnchor>
    <xdr:from>
      <xdr:col>15</xdr:col>
      <xdr:colOff>223306</xdr:colOff>
      <xdr:row>15</xdr:row>
      <xdr:rowOff>54676</xdr:rowOff>
    </xdr:from>
    <xdr:to>
      <xdr:col>25</xdr:col>
      <xdr:colOff>563813</xdr:colOff>
      <xdr:row>25</xdr:row>
      <xdr:rowOff>149275</xdr:rowOff>
    </xdr:to>
    <xdr:graphicFrame macro="">
      <xdr:nvGraphicFramePr>
        <xdr:cNvPr id="32" name="Chart 31">
          <a:extLst>
            <a:ext uri="{FF2B5EF4-FFF2-40B4-BE49-F238E27FC236}">
              <a16:creationId xmlns:a16="http://schemas.microsoft.com/office/drawing/2014/main" id="{E5E45353-9BA7-4FA4-88B7-8D578CE7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64420</xdr:colOff>
      <xdr:row>27</xdr:row>
      <xdr:rowOff>138044</xdr:rowOff>
    </xdr:from>
    <xdr:to>
      <xdr:col>25</xdr:col>
      <xdr:colOff>506160</xdr:colOff>
      <xdr:row>38</xdr:row>
      <xdr:rowOff>82826</xdr:rowOff>
    </xdr:to>
    <xdr:graphicFrame macro="">
      <xdr:nvGraphicFramePr>
        <xdr:cNvPr id="33" name="Chart 32">
          <a:extLst>
            <a:ext uri="{FF2B5EF4-FFF2-40B4-BE49-F238E27FC236}">
              <a16:creationId xmlns:a16="http://schemas.microsoft.com/office/drawing/2014/main" id="{B53A5421-668A-4F2E-BD16-BF6470906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430589</xdr:colOff>
      <xdr:row>14</xdr:row>
      <xdr:rowOff>106489</xdr:rowOff>
    </xdr:from>
    <xdr:to>
      <xdr:col>20</xdr:col>
      <xdr:colOff>9203</xdr:colOff>
      <xdr:row>16</xdr:row>
      <xdr:rowOff>110435</xdr:rowOff>
    </xdr:to>
    <xdr:sp macro="" textlink="">
      <xdr:nvSpPr>
        <xdr:cNvPr id="25" name="Rectangle 24">
          <a:extLst>
            <a:ext uri="{FF2B5EF4-FFF2-40B4-BE49-F238E27FC236}">
              <a16:creationId xmlns:a16="http://schemas.microsoft.com/office/drawing/2014/main" id="{DD83C1D4-5FAB-4281-A02F-C5F961943A4A}"/>
            </a:ext>
          </a:extLst>
        </xdr:cNvPr>
        <xdr:cNvSpPr/>
      </xdr:nvSpPr>
      <xdr:spPr>
        <a:xfrm>
          <a:off x="10369719" y="2554460"/>
          <a:ext cx="2891658" cy="353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Top</a:t>
          </a:r>
          <a:r>
            <a:rPr lang="en-IN" sz="1800" b="1" baseline="0">
              <a:solidFill>
                <a:schemeClr val="tx2">
                  <a:lumMod val="90000"/>
                  <a:lumOff val="10000"/>
                </a:schemeClr>
              </a:solidFill>
            </a:rPr>
            <a:t> 3 selling Products</a:t>
          </a:r>
          <a:endParaRPr lang="en-IN" sz="1800" b="1">
            <a:solidFill>
              <a:schemeClr val="tx2">
                <a:lumMod val="90000"/>
                <a:lumOff val="10000"/>
              </a:schemeClr>
            </a:solidFill>
          </a:endParaRPr>
        </a:p>
      </xdr:txBody>
    </xdr:sp>
    <xdr:clientData/>
  </xdr:twoCellAnchor>
  <xdr:twoCellAnchor>
    <xdr:from>
      <xdr:col>15</xdr:col>
      <xdr:colOff>627857</xdr:colOff>
      <xdr:row>26</xdr:row>
      <xdr:rowOff>142989</xdr:rowOff>
    </xdr:from>
    <xdr:to>
      <xdr:col>20</xdr:col>
      <xdr:colOff>193260</xdr:colOff>
      <xdr:row>29</xdr:row>
      <xdr:rowOff>48214</xdr:rowOff>
    </xdr:to>
    <xdr:sp macro="" textlink="">
      <xdr:nvSpPr>
        <xdr:cNvPr id="26" name="Rectangle 25">
          <a:extLst>
            <a:ext uri="{FF2B5EF4-FFF2-40B4-BE49-F238E27FC236}">
              <a16:creationId xmlns:a16="http://schemas.microsoft.com/office/drawing/2014/main" id="{6624A34B-0BCF-4D2B-BCFD-A053F7A7EF74}"/>
            </a:ext>
          </a:extLst>
        </xdr:cNvPr>
        <xdr:cNvSpPr/>
      </xdr:nvSpPr>
      <xdr:spPr>
        <a:xfrm>
          <a:off x="10566987" y="4689221"/>
          <a:ext cx="2878447" cy="4297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Bottom</a:t>
          </a:r>
          <a:r>
            <a:rPr lang="en-IN" sz="1800" b="1" baseline="0">
              <a:solidFill>
                <a:schemeClr val="tx2">
                  <a:lumMod val="90000"/>
                  <a:lumOff val="10000"/>
                </a:schemeClr>
              </a:solidFill>
            </a:rPr>
            <a:t> 3 Selling Products</a:t>
          </a:r>
          <a:endParaRPr lang="en-IN" sz="1800" b="1">
            <a:solidFill>
              <a:schemeClr val="tx2">
                <a:lumMod val="90000"/>
                <a:lumOff val="10000"/>
              </a:schemeClr>
            </a:solidFill>
          </a:endParaRPr>
        </a:p>
      </xdr:txBody>
    </xdr:sp>
    <xdr:clientData/>
  </xdr:twoCellAnchor>
  <xdr:twoCellAnchor>
    <xdr:from>
      <xdr:col>4</xdr:col>
      <xdr:colOff>202464</xdr:colOff>
      <xdr:row>19</xdr:row>
      <xdr:rowOff>18406</xdr:rowOff>
    </xdr:from>
    <xdr:to>
      <xdr:col>14</xdr:col>
      <xdr:colOff>561377</xdr:colOff>
      <xdr:row>38</xdr:row>
      <xdr:rowOff>0</xdr:rowOff>
    </xdr:to>
    <xdr:graphicFrame macro="">
      <xdr:nvGraphicFramePr>
        <xdr:cNvPr id="34" name="Chart 33">
          <a:extLst>
            <a:ext uri="{FF2B5EF4-FFF2-40B4-BE49-F238E27FC236}">
              <a16:creationId xmlns:a16="http://schemas.microsoft.com/office/drawing/2014/main" id="{594BA8A3-0F2E-4A58-943E-7CB6AD123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19231</xdr:colOff>
      <xdr:row>18</xdr:row>
      <xdr:rowOff>29257</xdr:rowOff>
    </xdr:from>
    <xdr:to>
      <xdr:col>9</xdr:col>
      <xdr:colOff>487754</xdr:colOff>
      <xdr:row>20</xdr:row>
      <xdr:rowOff>114556</xdr:rowOff>
    </xdr:to>
    <xdr:sp macro="" textlink="">
      <xdr:nvSpPr>
        <xdr:cNvPr id="28" name="Rectangle 27">
          <a:extLst>
            <a:ext uri="{FF2B5EF4-FFF2-40B4-BE49-F238E27FC236}">
              <a16:creationId xmlns:a16="http://schemas.microsoft.com/office/drawing/2014/main" id="{3FB678A1-11DD-4BDC-8212-6AB5BB5193D6}"/>
            </a:ext>
          </a:extLst>
        </xdr:cNvPr>
        <xdr:cNvSpPr/>
      </xdr:nvSpPr>
      <xdr:spPr>
        <a:xfrm>
          <a:off x="3332274" y="3176648"/>
          <a:ext cx="3118958" cy="4350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Sales</a:t>
          </a:r>
          <a:r>
            <a:rPr lang="en-IN" sz="1800" b="1" baseline="0">
              <a:solidFill>
                <a:schemeClr val="tx2">
                  <a:lumMod val="90000"/>
                  <a:lumOff val="10000"/>
                </a:schemeClr>
              </a:solidFill>
            </a:rPr>
            <a:t> of Products by Qty</a:t>
          </a:r>
          <a:endParaRPr lang="en-IN" sz="1800" b="1">
            <a:solidFill>
              <a:schemeClr val="tx2">
                <a:lumMod val="90000"/>
                <a:lumOff val="1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0</xdr:row>
      <xdr:rowOff>31750</xdr:rowOff>
    </xdr:from>
    <xdr:to>
      <xdr:col>25</xdr:col>
      <xdr:colOff>653676</xdr:colOff>
      <xdr:row>39</xdr:row>
      <xdr:rowOff>93383</xdr:rowOff>
    </xdr:to>
    <xdr:sp macro="" textlink="">
      <xdr:nvSpPr>
        <xdr:cNvPr id="2" name="Rectangle: Rounded Corners 1">
          <a:extLst>
            <a:ext uri="{FF2B5EF4-FFF2-40B4-BE49-F238E27FC236}">
              <a16:creationId xmlns:a16="http://schemas.microsoft.com/office/drawing/2014/main" id="{87FABF18-D649-4379-BCA5-1674BF3F1068}"/>
            </a:ext>
          </a:extLst>
        </xdr:cNvPr>
        <xdr:cNvSpPr/>
      </xdr:nvSpPr>
      <xdr:spPr>
        <a:xfrm>
          <a:off x="25400" y="31750"/>
          <a:ext cx="17138276" cy="6995833"/>
        </a:xfrm>
        <a:prstGeom prst="roundRect">
          <a:avLst>
            <a:gd name="adj" fmla="val 1852"/>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9478</xdr:colOff>
      <xdr:row>0</xdr:row>
      <xdr:rowOff>40969</xdr:rowOff>
    </xdr:from>
    <xdr:to>
      <xdr:col>25</xdr:col>
      <xdr:colOff>644478</xdr:colOff>
      <xdr:row>39</xdr:row>
      <xdr:rowOff>74706</xdr:rowOff>
    </xdr:to>
    <xdr:sp macro="" textlink="">
      <xdr:nvSpPr>
        <xdr:cNvPr id="3" name="Rectangle: Rounded Corners 2">
          <a:extLst>
            <a:ext uri="{FF2B5EF4-FFF2-40B4-BE49-F238E27FC236}">
              <a16:creationId xmlns:a16="http://schemas.microsoft.com/office/drawing/2014/main" id="{431C3C3A-21BD-4648-A1F9-06040C1FC660}"/>
            </a:ext>
          </a:extLst>
        </xdr:cNvPr>
        <xdr:cNvSpPr/>
      </xdr:nvSpPr>
      <xdr:spPr>
        <a:xfrm>
          <a:off x="2651078" y="40969"/>
          <a:ext cx="14503400" cy="6967937"/>
        </a:xfrm>
        <a:prstGeom prst="roundRect">
          <a:avLst>
            <a:gd name="adj" fmla="val 185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102721</xdr:colOff>
      <xdr:row>0</xdr:row>
      <xdr:rowOff>143689</xdr:rowOff>
    </xdr:from>
    <xdr:to>
      <xdr:col>14</xdr:col>
      <xdr:colOff>644338</xdr:colOff>
      <xdr:row>8</xdr:row>
      <xdr:rowOff>35092</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1159403E-F199-4D9E-8BB9-50EF8C69A84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30662" y="143689"/>
              <a:ext cx="6592794" cy="13108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93103</xdr:colOff>
      <xdr:row>0</xdr:row>
      <xdr:rowOff>145222</xdr:rowOff>
    </xdr:from>
    <xdr:to>
      <xdr:col>25</xdr:col>
      <xdr:colOff>550956</xdr:colOff>
      <xdr:row>8</xdr:row>
      <xdr:rowOff>38124</xdr:rowOff>
    </xdr:to>
    <mc:AlternateContent xmlns:mc="http://schemas.openxmlformats.org/markup-compatibility/2006" xmlns:a14="http://schemas.microsoft.com/office/drawing/2010/main">
      <mc:Choice Requires="a14">
        <xdr:graphicFrame macro="">
          <xdr:nvGraphicFramePr>
            <xdr:cNvPr id="5" name="Place 2">
              <a:extLst>
                <a:ext uri="{FF2B5EF4-FFF2-40B4-BE49-F238E27FC236}">
                  <a16:creationId xmlns:a16="http://schemas.microsoft.com/office/drawing/2014/main" id="{F119D3DC-99A0-4227-9C5A-5A23346F892B}"/>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9197882" y="145222"/>
              <a:ext cx="6471677" cy="131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121538</xdr:colOff>
      <xdr:row>8</xdr:row>
      <xdr:rowOff>97834</xdr:rowOff>
    </xdr:from>
    <xdr:to>
      <xdr:col>25</xdr:col>
      <xdr:colOff>532279</xdr:colOff>
      <xdr:row>13</xdr:row>
      <xdr:rowOff>140073</xdr:rowOff>
    </xdr:to>
    <mc:AlternateContent xmlns:mc="http://schemas.openxmlformats.org/markup-compatibility/2006" xmlns:a14="http://schemas.microsoft.com/office/drawing/2010/main">
      <mc:Choice Requires="a14">
        <xdr:graphicFrame macro="">
          <xdr:nvGraphicFramePr>
            <xdr:cNvPr id="6" name="Products 2">
              <a:extLst>
                <a:ext uri="{FF2B5EF4-FFF2-40B4-BE49-F238E27FC236}">
                  <a16:creationId xmlns:a16="http://schemas.microsoft.com/office/drawing/2014/main" id="{9BDEBC36-0611-48C9-8A4F-3F4B9DA462E1}"/>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2549479" y="1741364"/>
              <a:ext cx="13148096" cy="882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104256</xdr:colOff>
      <xdr:row>14</xdr:row>
      <xdr:rowOff>146712</xdr:rowOff>
    </xdr:from>
    <xdr:to>
      <xdr:col>4</xdr:col>
      <xdr:colOff>568658</xdr:colOff>
      <xdr:row>17</xdr:row>
      <xdr:rowOff>70890</xdr:rowOff>
    </xdr:to>
    <xdr:pic>
      <xdr:nvPicPr>
        <xdr:cNvPr id="7" name="Graphic 6" descr="Bar chart">
          <a:extLst>
            <a:ext uri="{FF2B5EF4-FFF2-40B4-BE49-F238E27FC236}">
              <a16:creationId xmlns:a16="http://schemas.microsoft.com/office/drawing/2014/main" id="{C63DAA1B-25B2-4C3C-BD6E-7F1EFA0E3A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45856" y="2635912"/>
          <a:ext cx="464402" cy="457578"/>
        </a:xfrm>
        <a:prstGeom prst="rect">
          <a:avLst/>
        </a:prstGeom>
      </xdr:spPr>
    </xdr:pic>
    <xdr:clientData/>
  </xdr:twoCellAnchor>
  <xdr:twoCellAnchor>
    <xdr:from>
      <xdr:col>4</xdr:col>
      <xdr:colOff>502313</xdr:colOff>
      <xdr:row>15</xdr:row>
      <xdr:rowOff>37911</xdr:rowOff>
    </xdr:from>
    <xdr:to>
      <xdr:col>7</xdr:col>
      <xdr:colOff>0</xdr:colOff>
      <xdr:row>17</xdr:row>
      <xdr:rowOff>123210</xdr:rowOff>
    </xdr:to>
    <xdr:sp macro="" textlink="">
      <xdr:nvSpPr>
        <xdr:cNvPr id="8" name="Rectangle 7">
          <a:extLst>
            <a:ext uri="{FF2B5EF4-FFF2-40B4-BE49-F238E27FC236}">
              <a16:creationId xmlns:a16="http://schemas.microsoft.com/office/drawing/2014/main" id="{15D12B41-CB4C-4273-8684-E58A67526904}"/>
            </a:ext>
          </a:extLst>
        </xdr:cNvPr>
        <xdr:cNvSpPr/>
      </xdr:nvSpPr>
      <xdr:spPr>
        <a:xfrm>
          <a:off x="2930254" y="3119529"/>
          <a:ext cx="1318643" cy="496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90000"/>
                  <a:lumOff val="10000"/>
                </a:schemeClr>
              </a:solidFill>
            </a:rPr>
            <a:t>Analytics</a:t>
          </a:r>
        </a:p>
      </xdr:txBody>
    </xdr:sp>
    <xdr:clientData/>
  </xdr:twoCellAnchor>
  <xdr:twoCellAnchor>
    <xdr:from>
      <xdr:col>4</xdr:col>
      <xdr:colOff>179456</xdr:colOff>
      <xdr:row>17</xdr:row>
      <xdr:rowOff>110435</xdr:rowOff>
    </xdr:from>
    <xdr:to>
      <xdr:col>14</xdr:col>
      <xdr:colOff>606567</xdr:colOff>
      <xdr:row>38</xdr:row>
      <xdr:rowOff>82826</xdr:rowOff>
    </xdr:to>
    <xdr:sp macro="" textlink="">
      <xdr:nvSpPr>
        <xdr:cNvPr id="9" name="Rectangle 8">
          <a:extLst>
            <a:ext uri="{FF2B5EF4-FFF2-40B4-BE49-F238E27FC236}">
              <a16:creationId xmlns:a16="http://schemas.microsoft.com/office/drawing/2014/main" id="{BFA491E1-6828-4702-884D-35E4382774C9}"/>
            </a:ext>
          </a:extLst>
        </xdr:cNvPr>
        <xdr:cNvSpPr/>
      </xdr:nvSpPr>
      <xdr:spPr>
        <a:xfrm>
          <a:off x="2821056" y="3133035"/>
          <a:ext cx="7031111" cy="370619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55218</xdr:colOff>
      <xdr:row>14</xdr:row>
      <xdr:rowOff>73623</xdr:rowOff>
    </xdr:from>
    <xdr:to>
      <xdr:col>25</xdr:col>
      <xdr:colOff>570580</xdr:colOff>
      <xdr:row>25</xdr:row>
      <xdr:rowOff>156449</xdr:rowOff>
    </xdr:to>
    <xdr:sp macro="" textlink="">
      <xdr:nvSpPr>
        <xdr:cNvPr id="10" name="Rectangle 9">
          <a:extLst>
            <a:ext uri="{FF2B5EF4-FFF2-40B4-BE49-F238E27FC236}">
              <a16:creationId xmlns:a16="http://schemas.microsoft.com/office/drawing/2014/main" id="{401FB419-C263-4526-A7AD-F82448F2B15E}"/>
            </a:ext>
          </a:extLst>
        </xdr:cNvPr>
        <xdr:cNvSpPr/>
      </xdr:nvSpPr>
      <xdr:spPr>
        <a:xfrm>
          <a:off x="9961218" y="2562823"/>
          <a:ext cx="7119362" cy="20386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56590</xdr:colOff>
      <xdr:row>26</xdr:row>
      <xdr:rowOff>119638</xdr:rowOff>
    </xdr:from>
    <xdr:to>
      <xdr:col>25</xdr:col>
      <xdr:colOff>557232</xdr:colOff>
      <xdr:row>38</xdr:row>
      <xdr:rowOff>101232</xdr:rowOff>
    </xdr:to>
    <xdr:sp macro="" textlink="">
      <xdr:nvSpPr>
        <xdr:cNvPr id="11" name="Rectangle 10">
          <a:extLst>
            <a:ext uri="{FF2B5EF4-FFF2-40B4-BE49-F238E27FC236}">
              <a16:creationId xmlns:a16="http://schemas.microsoft.com/office/drawing/2014/main" id="{602FE425-1141-46E7-A289-A1BEFCE3B29D}"/>
            </a:ext>
          </a:extLst>
        </xdr:cNvPr>
        <xdr:cNvSpPr/>
      </xdr:nvSpPr>
      <xdr:spPr>
        <a:xfrm>
          <a:off x="9995720" y="4665870"/>
          <a:ext cx="7126729" cy="207985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341195</xdr:colOff>
      <xdr:row>13</xdr:row>
      <xdr:rowOff>56866</xdr:rowOff>
    </xdr:from>
    <xdr:to>
      <xdr:col>3</xdr:col>
      <xdr:colOff>265372</xdr:colOff>
      <xdr:row>15</xdr:row>
      <xdr:rowOff>161120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20FC40E0-354C-4A91-A01F-E10D3144F2CD}"/>
            </a:ext>
          </a:extLst>
        </xdr:cNvPr>
        <xdr:cNvSpPr/>
      </xdr:nvSpPr>
      <xdr:spPr>
        <a:xfrm>
          <a:off x="341195" y="2368266"/>
          <a:ext cx="1905377" cy="459854"/>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DashBoard</a:t>
          </a:r>
        </a:p>
      </xdr:txBody>
    </xdr:sp>
    <xdr:clientData/>
  </xdr:twoCellAnchor>
  <xdr:twoCellAnchor>
    <xdr:from>
      <xdr:col>0</xdr:col>
      <xdr:colOff>347639</xdr:colOff>
      <xdr:row>16</xdr:row>
      <xdr:rowOff>145483</xdr:rowOff>
    </xdr:from>
    <xdr:to>
      <xdr:col>3</xdr:col>
      <xdr:colOff>271816</xdr:colOff>
      <xdr:row>19</xdr:row>
      <xdr:rowOff>69662</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0F986EA0-FF88-479A-932C-9A23D38EF14A}"/>
            </a:ext>
          </a:extLst>
        </xdr:cNvPr>
        <xdr:cNvSpPr/>
      </xdr:nvSpPr>
      <xdr:spPr>
        <a:xfrm>
          <a:off x="347639" y="2990283"/>
          <a:ext cx="1905377" cy="457579"/>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Products</a:t>
          </a:r>
        </a:p>
      </xdr:txBody>
    </xdr:sp>
    <xdr:clientData/>
  </xdr:twoCellAnchor>
  <xdr:twoCellAnchor>
    <xdr:from>
      <xdr:col>0</xdr:col>
      <xdr:colOff>357117</xdr:colOff>
      <xdr:row>20</xdr:row>
      <xdr:rowOff>31749</xdr:rowOff>
    </xdr:from>
    <xdr:to>
      <xdr:col>3</xdr:col>
      <xdr:colOff>281294</xdr:colOff>
      <xdr:row>22</xdr:row>
      <xdr:rowOff>136003</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2A1AD0CA-33DA-489B-8A2C-625FD39F7E34}"/>
            </a:ext>
          </a:extLst>
        </xdr:cNvPr>
        <xdr:cNvSpPr/>
      </xdr:nvSpPr>
      <xdr:spPr>
        <a:xfrm>
          <a:off x="357117" y="3587749"/>
          <a:ext cx="1905377" cy="459854"/>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Sales</a:t>
          </a:r>
          <a:r>
            <a:rPr lang="en-IN" sz="2000" baseline="0">
              <a:solidFill>
                <a:sysClr val="windowText" lastClr="000000"/>
              </a:solidFill>
            </a:rPr>
            <a:t> </a:t>
          </a:r>
          <a:r>
            <a:rPr lang="en-IN" sz="2000" b="1">
              <a:solidFill>
                <a:sysClr val="windowText" lastClr="000000"/>
              </a:solidFill>
              <a:latin typeface="+mn-lt"/>
              <a:ea typeface="+mn-ea"/>
              <a:cs typeface="+mn-cs"/>
            </a:rPr>
            <a:t>Mans</a:t>
          </a:r>
        </a:p>
      </xdr:txBody>
    </xdr:sp>
    <xdr:clientData/>
  </xdr:twoCellAnchor>
  <xdr:twoCellAnchor>
    <xdr:from>
      <xdr:col>0</xdr:col>
      <xdr:colOff>338921</xdr:colOff>
      <xdr:row>23</xdr:row>
      <xdr:rowOff>108328</xdr:rowOff>
    </xdr:from>
    <xdr:to>
      <xdr:col>3</xdr:col>
      <xdr:colOff>263098</xdr:colOff>
      <xdr:row>26</xdr:row>
      <xdr:rowOff>32507</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08793975-649E-4DFC-A00A-FF15A21A1C70}"/>
            </a:ext>
          </a:extLst>
        </xdr:cNvPr>
        <xdr:cNvSpPr/>
      </xdr:nvSpPr>
      <xdr:spPr>
        <a:xfrm>
          <a:off x="338921" y="4197728"/>
          <a:ext cx="1905377" cy="457579"/>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About</a:t>
          </a:r>
        </a:p>
      </xdr:txBody>
    </xdr:sp>
    <xdr:clientData/>
  </xdr:twoCellAnchor>
  <xdr:twoCellAnchor>
    <xdr:from>
      <xdr:col>15</xdr:col>
      <xdr:colOff>95711</xdr:colOff>
      <xdr:row>15</xdr:row>
      <xdr:rowOff>138044</xdr:rowOff>
    </xdr:from>
    <xdr:to>
      <xdr:col>25</xdr:col>
      <xdr:colOff>524566</xdr:colOff>
      <xdr:row>25</xdr:row>
      <xdr:rowOff>149592</xdr:rowOff>
    </xdr:to>
    <xdr:graphicFrame macro="">
      <xdr:nvGraphicFramePr>
        <xdr:cNvPr id="22" name="Chart 21">
          <a:extLst>
            <a:ext uri="{FF2B5EF4-FFF2-40B4-BE49-F238E27FC236}">
              <a16:creationId xmlns:a16="http://schemas.microsoft.com/office/drawing/2014/main" id="{27EBA4C0-0712-4FC2-968E-0CF624F83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172908</xdr:colOff>
      <xdr:row>14</xdr:row>
      <xdr:rowOff>97286</xdr:rowOff>
    </xdr:from>
    <xdr:to>
      <xdr:col>19</xdr:col>
      <xdr:colOff>414131</xdr:colOff>
      <xdr:row>16</xdr:row>
      <xdr:rowOff>101232</xdr:rowOff>
    </xdr:to>
    <xdr:sp macro="" textlink="">
      <xdr:nvSpPr>
        <xdr:cNvPr id="18" name="Rectangle 17">
          <a:extLst>
            <a:ext uri="{FF2B5EF4-FFF2-40B4-BE49-F238E27FC236}">
              <a16:creationId xmlns:a16="http://schemas.microsoft.com/office/drawing/2014/main" id="{6127616E-9CEF-4F3B-9ECE-8D3DA4A327DE}"/>
            </a:ext>
          </a:extLst>
        </xdr:cNvPr>
        <xdr:cNvSpPr/>
      </xdr:nvSpPr>
      <xdr:spPr>
        <a:xfrm>
          <a:off x="10112038" y="2545257"/>
          <a:ext cx="2891658" cy="353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Top</a:t>
          </a:r>
          <a:r>
            <a:rPr lang="en-IN" sz="1800" b="1" baseline="0">
              <a:solidFill>
                <a:schemeClr val="tx2">
                  <a:lumMod val="90000"/>
                  <a:lumOff val="10000"/>
                </a:schemeClr>
              </a:solidFill>
            </a:rPr>
            <a:t> 3 Sales Mans</a:t>
          </a:r>
          <a:endParaRPr lang="en-IN" sz="1800" b="1">
            <a:solidFill>
              <a:schemeClr val="tx2">
                <a:lumMod val="90000"/>
                <a:lumOff val="10000"/>
              </a:schemeClr>
            </a:solidFill>
          </a:endParaRPr>
        </a:p>
      </xdr:txBody>
    </xdr:sp>
    <xdr:clientData/>
  </xdr:twoCellAnchor>
  <xdr:twoCellAnchor>
    <xdr:from>
      <xdr:col>15</xdr:col>
      <xdr:colOff>128841</xdr:colOff>
      <xdr:row>27</xdr:row>
      <xdr:rowOff>156450</xdr:rowOff>
    </xdr:from>
    <xdr:to>
      <xdr:col>25</xdr:col>
      <xdr:colOff>496957</xdr:colOff>
      <xdr:row>38</xdr:row>
      <xdr:rowOff>27608</xdr:rowOff>
    </xdr:to>
    <xdr:graphicFrame macro="">
      <xdr:nvGraphicFramePr>
        <xdr:cNvPr id="23" name="Chart 22">
          <a:extLst>
            <a:ext uri="{FF2B5EF4-FFF2-40B4-BE49-F238E27FC236}">
              <a16:creationId xmlns:a16="http://schemas.microsoft.com/office/drawing/2014/main" id="{04861360-B9FB-481C-8C00-41A31CCFC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397784</xdr:colOff>
      <xdr:row>26</xdr:row>
      <xdr:rowOff>142989</xdr:rowOff>
    </xdr:from>
    <xdr:to>
      <xdr:col>19</xdr:col>
      <xdr:colOff>625796</xdr:colOff>
      <xdr:row>29</xdr:row>
      <xdr:rowOff>48214</xdr:rowOff>
    </xdr:to>
    <xdr:sp macro="" textlink="">
      <xdr:nvSpPr>
        <xdr:cNvPr id="19" name="Rectangle 18">
          <a:extLst>
            <a:ext uri="{FF2B5EF4-FFF2-40B4-BE49-F238E27FC236}">
              <a16:creationId xmlns:a16="http://schemas.microsoft.com/office/drawing/2014/main" id="{4B102E01-6FE3-42F3-91AD-DE1A889FEE0E}"/>
            </a:ext>
          </a:extLst>
        </xdr:cNvPr>
        <xdr:cNvSpPr/>
      </xdr:nvSpPr>
      <xdr:spPr>
        <a:xfrm>
          <a:off x="10336914" y="4689221"/>
          <a:ext cx="2878447" cy="4297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Bottom</a:t>
          </a:r>
          <a:r>
            <a:rPr lang="en-IN" sz="1800" b="1" baseline="0">
              <a:solidFill>
                <a:schemeClr val="tx2">
                  <a:lumMod val="90000"/>
                  <a:lumOff val="10000"/>
                </a:schemeClr>
              </a:solidFill>
            </a:rPr>
            <a:t> 3 Sales Mans</a:t>
          </a:r>
          <a:endParaRPr lang="en-IN" sz="1800" b="1">
            <a:solidFill>
              <a:schemeClr val="tx2">
                <a:lumMod val="90000"/>
                <a:lumOff val="10000"/>
              </a:schemeClr>
            </a:solidFill>
          </a:endParaRPr>
        </a:p>
      </xdr:txBody>
    </xdr:sp>
    <xdr:clientData/>
  </xdr:twoCellAnchor>
  <xdr:twoCellAnchor>
    <xdr:from>
      <xdr:col>4</xdr:col>
      <xdr:colOff>202464</xdr:colOff>
      <xdr:row>19</xdr:row>
      <xdr:rowOff>156450</xdr:rowOff>
    </xdr:from>
    <xdr:to>
      <xdr:col>14</xdr:col>
      <xdr:colOff>533768</xdr:colOff>
      <xdr:row>38</xdr:row>
      <xdr:rowOff>46014</xdr:rowOff>
    </xdr:to>
    <xdr:graphicFrame macro="">
      <xdr:nvGraphicFramePr>
        <xdr:cNvPr id="24" name="Chart 23">
          <a:extLst>
            <a:ext uri="{FF2B5EF4-FFF2-40B4-BE49-F238E27FC236}">
              <a16:creationId xmlns:a16="http://schemas.microsoft.com/office/drawing/2014/main" id="{6B0CFE72-70D3-4C6B-8E0F-536C55E8E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19231</xdr:colOff>
      <xdr:row>18</xdr:row>
      <xdr:rowOff>29257</xdr:rowOff>
    </xdr:from>
    <xdr:to>
      <xdr:col>9</xdr:col>
      <xdr:colOff>487754</xdr:colOff>
      <xdr:row>20</xdr:row>
      <xdr:rowOff>114556</xdr:rowOff>
    </xdr:to>
    <xdr:sp macro="" textlink="">
      <xdr:nvSpPr>
        <xdr:cNvPr id="21" name="Rectangle 20">
          <a:extLst>
            <a:ext uri="{FF2B5EF4-FFF2-40B4-BE49-F238E27FC236}">
              <a16:creationId xmlns:a16="http://schemas.microsoft.com/office/drawing/2014/main" id="{624408D3-3985-4508-9255-CE0340F5753B}"/>
            </a:ext>
          </a:extLst>
        </xdr:cNvPr>
        <xdr:cNvSpPr/>
      </xdr:nvSpPr>
      <xdr:spPr>
        <a:xfrm>
          <a:off x="3321231" y="3229657"/>
          <a:ext cx="3110123" cy="440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2">
                  <a:lumMod val="90000"/>
                  <a:lumOff val="10000"/>
                </a:schemeClr>
              </a:solidFill>
            </a:rPr>
            <a:t>Sales</a:t>
          </a:r>
          <a:r>
            <a:rPr lang="en-IN" sz="1800" b="1" baseline="0">
              <a:solidFill>
                <a:schemeClr val="tx2">
                  <a:lumMod val="90000"/>
                  <a:lumOff val="10000"/>
                </a:schemeClr>
              </a:solidFill>
            </a:rPr>
            <a:t> Man Performance</a:t>
          </a:r>
          <a:endParaRPr lang="en-IN" sz="1800" b="1">
            <a:solidFill>
              <a:schemeClr val="tx2">
                <a:lumMod val="90000"/>
                <a:lumOff val="1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xdr:colOff>
      <xdr:row>0</xdr:row>
      <xdr:rowOff>31750</xdr:rowOff>
    </xdr:from>
    <xdr:to>
      <xdr:col>25</xdr:col>
      <xdr:colOff>653676</xdr:colOff>
      <xdr:row>39</xdr:row>
      <xdr:rowOff>93383</xdr:rowOff>
    </xdr:to>
    <xdr:sp macro="" textlink="">
      <xdr:nvSpPr>
        <xdr:cNvPr id="2" name="Rectangle: Rounded Corners 1">
          <a:extLst>
            <a:ext uri="{FF2B5EF4-FFF2-40B4-BE49-F238E27FC236}">
              <a16:creationId xmlns:a16="http://schemas.microsoft.com/office/drawing/2014/main" id="{48160343-B027-458F-A018-62F4EE775827}"/>
            </a:ext>
          </a:extLst>
        </xdr:cNvPr>
        <xdr:cNvSpPr/>
      </xdr:nvSpPr>
      <xdr:spPr>
        <a:xfrm>
          <a:off x="25400" y="31750"/>
          <a:ext cx="17138276" cy="6995833"/>
        </a:xfrm>
        <a:prstGeom prst="roundRect">
          <a:avLst>
            <a:gd name="adj" fmla="val 1852"/>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9478</xdr:colOff>
      <xdr:row>0</xdr:row>
      <xdr:rowOff>40969</xdr:rowOff>
    </xdr:from>
    <xdr:to>
      <xdr:col>25</xdr:col>
      <xdr:colOff>644478</xdr:colOff>
      <xdr:row>39</xdr:row>
      <xdr:rowOff>74706</xdr:rowOff>
    </xdr:to>
    <xdr:sp macro="" textlink="">
      <xdr:nvSpPr>
        <xdr:cNvPr id="3" name="Rectangle: Rounded Corners 2">
          <a:extLst>
            <a:ext uri="{FF2B5EF4-FFF2-40B4-BE49-F238E27FC236}">
              <a16:creationId xmlns:a16="http://schemas.microsoft.com/office/drawing/2014/main" id="{3E19EC4C-6B85-4284-BA8B-35B3E5434CFE}"/>
            </a:ext>
          </a:extLst>
        </xdr:cNvPr>
        <xdr:cNvSpPr/>
      </xdr:nvSpPr>
      <xdr:spPr>
        <a:xfrm>
          <a:off x="2651078" y="40969"/>
          <a:ext cx="14503400" cy="6967937"/>
        </a:xfrm>
        <a:prstGeom prst="roundRect">
          <a:avLst>
            <a:gd name="adj" fmla="val 185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102720</xdr:colOff>
      <xdr:row>0</xdr:row>
      <xdr:rowOff>143689</xdr:rowOff>
    </xdr:from>
    <xdr:to>
      <xdr:col>15</xdr:col>
      <xdr:colOff>0</xdr:colOff>
      <xdr:row>8</xdr:row>
      <xdr:rowOff>35092</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6CFDD356-0144-450B-9B9C-8C92E811D25C}"/>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530661" y="143689"/>
              <a:ext cx="6574117" cy="13108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93102</xdr:colOff>
      <xdr:row>0</xdr:row>
      <xdr:rowOff>145222</xdr:rowOff>
    </xdr:from>
    <xdr:to>
      <xdr:col>25</xdr:col>
      <xdr:colOff>522940</xdr:colOff>
      <xdr:row>8</xdr:row>
      <xdr:rowOff>38124</xdr:rowOff>
    </xdr:to>
    <mc:AlternateContent xmlns:mc="http://schemas.openxmlformats.org/markup-compatibility/2006" xmlns:a14="http://schemas.microsoft.com/office/drawing/2010/main">
      <mc:Choice Requires="a14">
        <xdr:graphicFrame macro="">
          <xdr:nvGraphicFramePr>
            <xdr:cNvPr id="5" name="Place 3">
              <a:extLst>
                <a:ext uri="{FF2B5EF4-FFF2-40B4-BE49-F238E27FC236}">
                  <a16:creationId xmlns:a16="http://schemas.microsoft.com/office/drawing/2014/main" id="{A826FD81-7EA9-49C9-A1B4-C88E168F3612}"/>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9197882" y="145222"/>
              <a:ext cx="6499692" cy="131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121537</xdr:colOff>
      <xdr:row>8</xdr:row>
      <xdr:rowOff>97834</xdr:rowOff>
    </xdr:from>
    <xdr:to>
      <xdr:col>25</xdr:col>
      <xdr:colOff>522941</xdr:colOff>
      <xdr:row>14</xdr:row>
      <xdr:rowOff>130734</xdr:rowOff>
    </xdr:to>
    <mc:AlternateContent xmlns:mc="http://schemas.openxmlformats.org/markup-compatibility/2006" xmlns:a14="http://schemas.microsoft.com/office/drawing/2010/main">
      <mc:Choice Requires="a14">
        <xdr:graphicFrame macro="">
          <xdr:nvGraphicFramePr>
            <xdr:cNvPr id="6" name="Products 3">
              <a:extLst>
                <a:ext uri="{FF2B5EF4-FFF2-40B4-BE49-F238E27FC236}">
                  <a16:creationId xmlns:a16="http://schemas.microsoft.com/office/drawing/2014/main" id="{23F4FDAB-C37F-422C-A8FF-F712D064B674}"/>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2549478" y="1741364"/>
              <a:ext cx="13138757" cy="882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502313</xdr:colOff>
      <xdr:row>15</xdr:row>
      <xdr:rowOff>37911</xdr:rowOff>
    </xdr:from>
    <xdr:to>
      <xdr:col>6</xdr:col>
      <xdr:colOff>360147</xdr:colOff>
      <xdr:row>17</xdr:row>
      <xdr:rowOff>123210</xdr:rowOff>
    </xdr:to>
    <xdr:sp macro="" textlink="">
      <xdr:nvSpPr>
        <xdr:cNvPr id="8" name="Rectangle 7">
          <a:extLst>
            <a:ext uri="{FF2B5EF4-FFF2-40B4-BE49-F238E27FC236}">
              <a16:creationId xmlns:a16="http://schemas.microsoft.com/office/drawing/2014/main" id="{9BC726A2-476A-4780-8A3A-0B21D90C9FD0}"/>
            </a:ext>
          </a:extLst>
        </xdr:cNvPr>
        <xdr:cNvSpPr/>
      </xdr:nvSpPr>
      <xdr:spPr>
        <a:xfrm>
          <a:off x="3143913" y="2704911"/>
          <a:ext cx="1178634" cy="440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90000"/>
                  <a:lumOff val="10000"/>
                </a:schemeClr>
              </a:solidFill>
            </a:rPr>
            <a:t>About</a:t>
          </a:r>
        </a:p>
      </xdr:txBody>
    </xdr:sp>
    <xdr:clientData/>
  </xdr:twoCellAnchor>
  <xdr:twoCellAnchor>
    <xdr:from>
      <xdr:col>0</xdr:col>
      <xdr:colOff>341195</xdr:colOff>
      <xdr:row>13</xdr:row>
      <xdr:rowOff>56866</xdr:rowOff>
    </xdr:from>
    <xdr:to>
      <xdr:col>3</xdr:col>
      <xdr:colOff>265372</xdr:colOff>
      <xdr:row>15</xdr:row>
      <xdr:rowOff>161120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7133884B-B8A2-4E1F-9A4C-3AB5D813E8D5}"/>
            </a:ext>
          </a:extLst>
        </xdr:cNvPr>
        <xdr:cNvSpPr/>
      </xdr:nvSpPr>
      <xdr:spPr>
        <a:xfrm>
          <a:off x="341195" y="2368266"/>
          <a:ext cx="1905377" cy="459854"/>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DashBoard</a:t>
          </a:r>
        </a:p>
      </xdr:txBody>
    </xdr:sp>
    <xdr:clientData/>
  </xdr:twoCellAnchor>
  <xdr:twoCellAnchor>
    <xdr:from>
      <xdr:col>0</xdr:col>
      <xdr:colOff>347639</xdr:colOff>
      <xdr:row>16</xdr:row>
      <xdr:rowOff>145483</xdr:rowOff>
    </xdr:from>
    <xdr:to>
      <xdr:col>3</xdr:col>
      <xdr:colOff>271816</xdr:colOff>
      <xdr:row>19</xdr:row>
      <xdr:rowOff>69662</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ED18D53E-185E-4FE0-BF9E-531DA6BB5F8D}"/>
            </a:ext>
          </a:extLst>
        </xdr:cNvPr>
        <xdr:cNvSpPr/>
      </xdr:nvSpPr>
      <xdr:spPr>
        <a:xfrm>
          <a:off x="347639" y="2990283"/>
          <a:ext cx="1905377" cy="457579"/>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Products</a:t>
          </a:r>
        </a:p>
      </xdr:txBody>
    </xdr:sp>
    <xdr:clientData/>
  </xdr:twoCellAnchor>
  <xdr:twoCellAnchor>
    <xdr:from>
      <xdr:col>0</xdr:col>
      <xdr:colOff>357117</xdr:colOff>
      <xdr:row>20</xdr:row>
      <xdr:rowOff>31749</xdr:rowOff>
    </xdr:from>
    <xdr:to>
      <xdr:col>3</xdr:col>
      <xdr:colOff>281294</xdr:colOff>
      <xdr:row>22</xdr:row>
      <xdr:rowOff>136003</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A5EAD6C6-07B3-4AFB-B7E7-F4AE7F33DCED}"/>
            </a:ext>
          </a:extLst>
        </xdr:cNvPr>
        <xdr:cNvSpPr/>
      </xdr:nvSpPr>
      <xdr:spPr>
        <a:xfrm>
          <a:off x="357117" y="3587749"/>
          <a:ext cx="1905377" cy="459854"/>
        </a:xfrm>
        <a:prstGeom prst="roundRect">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lumMod val="95000"/>
                </a:schemeClr>
              </a:solidFill>
            </a:rPr>
            <a:t>Sales</a:t>
          </a:r>
          <a:r>
            <a:rPr lang="en-IN" sz="2000" baseline="0">
              <a:solidFill>
                <a:schemeClr val="bg1">
                  <a:lumMod val="95000"/>
                </a:schemeClr>
              </a:solidFill>
            </a:rPr>
            <a:t> </a:t>
          </a:r>
          <a:r>
            <a:rPr lang="en-IN" sz="2000" b="1">
              <a:solidFill>
                <a:schemeClr val="bg1">
                  <a:lumMod val="95000"/>
                </a:schemeClr>
              </a:solidFill>
              <a:latin typeface="+mn-lt"/>
              <a:ea typeface="+mn-ea"/>
              <a:cs typeface="+mn-cs"/>
            </a:rPr>
            <a:t>Mans</a:t>
          </a:r>
        </a:p>
      </xdr:txBody>
    </xdr:sp>
    <xdr:clientData/>
  </xdr:twoCellAnchor>
  <xdr:twoCellAnchor>
    <xdr:from>
      <xdr:col>0</xdr:col>
      <xdr:colOff>338921</xdr:colOff>
      <xdr:row>23</xdr:row>
      <xdr:rowOff>108328</xdr:rowOff>
    </xdr:from>
    <xdr:to>
      <xdr:col>3</xdr:col>
      <xdr:colOff>263098</xdr:colOff>
      <xdr:row>26</xdr:row>
      <xdr:rowOff>32507</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30993C35-6245-4B17-B351-B87E3505A573}"/>
            </a:ext>
          </a:extLst>
        </xdr:cNvPr>
        <xdr:cNvSpPr/>
      </xdr:nvSpPr>
      <xdr:spPr>
        <a:xfrm>
          <a:off x="338921" y="4197728"/>
          <a:ext cx="1905377" cy="45757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About</a:t>
          </a:r>
        </a:p>
      </xdr:txBody>
    </xdr:sp>
    <xdr:clientData/>
  </xdr:twoCellAnchor>
  <xdr:twoCellAnchor editAs="oneCell">
    <xdr:from>
      <xdr:col>4</xdr:col>
      <xdr:colOff>218640</xdr:colOff>
      <xdr:row>15</xdr:row>
      <xdr:rowOff>10762</xdr:rowOff>
    </xdr:from>
    <xdr:to>
      <xdr:col>4</xdr:col>
      <xdr:colOff>645332</xdr:colOff>
      <xdr:row>17</xdr:row>
      <xdr:rowOff>68559</xdr:rowOff>
    </xdr:to>
    <xdr:pic>
      <xdr:nvPicPr>
        <xdr:cNvPr id="23" name="Graphic 22" descr="User">
          <a:extLst>
            <a:ext uri="{FF2B5EF4-FFF2-40B4-BE49-F238E27FC236}">
              <a16:creationId xmlns:a16="http://schemas.microsoft.com/office/drawing/2014/main" id="{8D6D0B06-F6AB-412E-B778-29A5218AEB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844742" y="2755254"/>
          <a:ext cx="426692" cy="423729"/>
        </a:xfrm>
        <a:prstGeom prst="rect">
          <a:avLst/>
        </a:prstGeom>
      </xdr:spPr>
    </xdr:pic>
    <xdr:clientData/>
  </xdr:twoCellAnchor>
  <xdr:twoCellAnchor>
    <xdr:from>
      <xdr:col>4</xdr:col>
      <xdr:colOff>304028</xdr:colOff>
      <xdr:row>18</xdr:row>
      <xdr:rowOff>11545</xdr:rowOff>
    </xdr:from>
    <xdr:to>
      <xdr:col>25</xdr:col>
      <xdr:colOff>513602</xdr:colOff>
      <xdr:row>37</xdr:row>
      <xdr:rowOff>159163</xdr:rowOff>
    </xdr:to>
    <xdr:sp macro="" textlink="">
      <xdr:nvSpPr>
        <xdr:cNvPr id="24" name="Rectangle: Rounded Corners 23">
          <a:extLst>
            <a:ext uri="{FF2B5EF4-FFF2-40B4-BE49-F238E27FC236}">
              <a16:creationId xmlns:a16="http://schemas.microsoft.com/office/drawing/2014/main" id="{0CFFB7C9-C183-4140-A0E8-F3A08594DAC6}"/>
            </a:ext>
          </a:extLst>
        </xdr:cNvPr>
        <xdr:cNvSpPr/>
      </xdr:nvSpPr>
      <xdr:spPr>
        <a:xfrm>
          <a:off x="2956087" y="3205221"/>
          <a:ext cx="14132883" cy="3518721"/>
        </a:xfrm>
        <a:prstGeom prst="roundRect">
          <a:avLst>
            <a:gd name="adj" fmla="val 394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380999</xdr:colOff>
      <xdr:row>19</xdr:row>
      <xdr:rowOff>34203</xdr:rowOff>
    </xdr:from>
    <xdr:to>
      <xdr:col>7</xdr:col>
      <xdr:colOff>254000</xdr:colOff>
      <xdr:row>21</xdr:row>
      <xdr:rowOff>150091</xdr:rowOff>
    </xdr:to>
    <xdr:sp macro="" textlink="">
      <xdr:nvSpPr>
        <xdr:cNvPr id="21" name="Rectangle 20">
          <a:extLst>
            <a:ext uri="{FF2B5EF4-FFF2-40B4-BE49-F238E27FC236}">
              <a16:creationId xmlns:a16="http://schemas.microsoft.com/office/drawing/2014/main" id="{1429D844-CC07-4DF6-B79C-880906ACCDBE}"/>
            </a:ext>
          </a:extLst>
        </xdr:cNvPr>
        <xdr:cNvSpPr/>
      </xdr:nvSpPr>
      <xdr:spPr>
        <a:xfrm>
          <a:off x="3013363" y="3324658"/>
          <a:ext cx="1847273" cy="462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6">
                  <a:lumMod val="50000"/>
                </a:schemeClr>
              </a:solidFill>
            </a:rPr>
            <a:t>Version :</a:t>
          </a:r>
        </a:p>
      </xdr:txBody>
    </xdr:sp>
    <xdr:clientData/>
  </xdr:twoCellAnchor>
  <xdr:twoCellAnchor>
    <xdr:from>
      <xdr:col>5</xdr:col>
      <xdr:colOff>173182</xdr:colOff>
      <xdr:row>22</xdr:row>
      <xdr:rowOff>11545</xdr:rowOff>
    </xdr:from>
    <xdr:to>
      <xdr:col>24</xdr:col>
      <xdr:colOff>531091</xdr:colOff>
      <xdr:row>25</xdr:row>
      <xdr:rowOff>46182</xdr:rowOff>
    </xdr:to>
    <xdr:sp macro="" textlink="">
      <xdr:nvSpPr>
        <xdr:cNvPr id="25" name="TextBox 24">
          <a:extLst>
            <a:ext uri="{FF2B5EF4-FFF2-40B4-BE49-F238E27FC236}">
              <a16:creationId xmlns:a16="http://schemas.microsoft.com/office/drawing/2014/main" id="{76383511-FA54-4D9D-ABEF-AD7E6D6AB7EF}"/>
            </a:ext>
          </a:extLst>
        </xdr:cNvPr>
        <xdr:cNvSpPr txBox="1"/>
      </xdr:nvSpPr>
      <xdr:spPr>
        <a:xfrm>
          <a:off x="3463637" y="3821545"/>
          <a:ext cx="12861636" cy="554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1">
              <a:solidFill>
                <a:sysClr val="windowText" lastClr="000000"/>
              </a:solidFill>
            </a:rPr>
            <a:t>The project is created in  Excel  2019 version but you can use Excel 2013 or any later version.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8.396722569443" createdVersion="6" refreshedVersion="6" minRefreshableVersion="3" recordCount="278" xr:uid="{10FFCEBD-321D-4D09-970C-815DA6D87A1E}">
  <cacheSource type="worksheet">
    <worksheetSource ref="A1:G279" sheet="Sheet1"/>
  </cacheSource>
  <cacheFields count="9">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8" base="0">
        <rangePr groupBy="months" startDate="2020-01-01T00:00:00" endDate="2022-12-31T00:00:00"/>
        <groupItems count="14">
          <s v="&lt;01-01-2020"/>
          <s v="Jan"/>
          <s v="Feb"/>
          <s v="Mar"/>
          <s v="Apr"/>
          <s v="May"/>
          <s v="Jun"/>
          <s v="Jul"/>
          <s v="Aug"/>
          <s v="Sep"/>
          <s v="Oct"/>
          <s v="Nov"/>
          <s v="Dec"/>
          <s v="&gt;31-12-2022"/>
        </groupItems>
      </fieldGroup>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Quarters" numFmtId="0" databaseField="0">
      <fieldGroup base="0">
        <rangePr groupBy="quarters" startDate="2020-01-01T00:00:00" endDate="2022-12-31T00:00:00"/>
        <groupItems count="6">
          <s v="&lt;01-01-2020"/>
          <s v="Qtr1"/>
          <s v="Qtr2"/>
          <s v="Qtr3"/>
          <s v="Qtr4"/>
          <s v="&gt;31-12-2022"/>
        </groupItems>
      </fieldGroup>
    </cacheField>
    <cacheField name="Years"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446737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B0210-A69E-4930-8D8A-C78160313287}"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90:B97"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6">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80AFA-EC74-4839-BDBC-62B3CB5331CA}"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7">
  <location ref="A81:B85"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4"/>
    </i>
    <i>
      <x v="5"/>
    </i>
    <i>
      <x v="3"/>
    </i>
    <i t="grand">
      <x/>
    </i>
  </rowItems>
  <colItems count="1">
    <i/>
  </colItems>
  <dataFields count="1">
    <dataField name="Sum of Units" fld="5" baseField="0" baseItem="0"/>
  </dataFields>
  <chartFormats count="8">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19AD3-D4D2-4677-AED0-636FEA172D53}"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location ref="A17:B24"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showDataAs="percentOfCol" baseField="0" baseItem="0" numFmtId="10"/>
  </dataFields>
  <chartFormats count="1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14" format="5">
      <pivotArea type="data" outline="0" fieldPosition="0">
        <references count="2">
          <reference field="4294967294" count="1" selected="0">
            <x v="0"/>
          </reference>
          <reference field="3" count="1" selected="0">
            <x v="4"/>
          </reference>
        </references>
      </pivotArea>
    </chartFormat>
    <chartFormat chart="14" format="6">
      <pivotArea type="data" outline="0" fieldPosition="0">
        <references count="2">
          <reference field="4294967294" count="1" selected="0">
            <x v="0"/>
          </reference>
          <reference field="3" count="1" selected="0">
            <x v="5"/>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3" count="1" selected="0">
            <x v="0"/>
          </reference>
        </references>
      </pivotArea>
    </chartFormat>
    <chartFormat chart="18" format="16">
      <pivotArea type="data" outline="0" fieldPosition="0">
        <references count="2">
          <reference field="4294967294" count="1" selected="0">
            <x v="0"/>
          </reference>
          <reference field="3" count="1" selected="0">
            <x v="1"/>
          </reference>
        </references>
      </pivotArea>
    </chartFormat>
    <chartFormat chart="18" format="17">
      <pivotArea type="data" outline="0" fieldPosition="0">
        <references count="2">
          <reference field="4294967294" count="1" selected="0">
            <x v="0"/>
          </reference>
          <reference field="3" count="1" selected="0">
            <x v="2"/>
          </reference>
        </references>
      </pivotArea>
    </chartFormat>
    <chartFormat chart="18" format="18">
      <pivotArea type="data" outline="0" fieldPosition="0">
        <references count="2">
          <reference field="4294967294" count="1" selected="0">
            <x v="0"/>
          </reference>
          <reference field="3" count="1" selected="0">
            <x v="3"/>
          </reference>
        </references>
      </pivotArea>
    </chartFormat>
    <chartFormat chart="18" format="19">
      <pivotArea type="data" outline="0" fieldPosition="0">
        <references count="2">
          <reference field="4294967294" count="1" selected="0">
            <x v="0"/>
          </reference>
          <reference field="3" count="1" selected="0">
            <x v="4"/>
          </reference>
        </references>
      </pivotArea>
    </chartFormat>
    <chartFormat chart="18"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FC1D0-2BB9-406F-A8ED-3D125E1DD0DF}"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3">
  <location ref="A40:A41" firstHeaderRow="1" firstDataRow="1" firstDataCol="0"/>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8" baseItem="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9AE788-8784-4A21-82AC-7D68632672BD}"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3">
  <location ref="A51:B55"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D0CC8C-6FBA-435B-B8DB-76A5482401B5}"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4">
  <location ref="A73:B77"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5">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00F11-77D2-4E4D-9524-DFEE6E79766C}"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3">
  <location ref="A1:B14"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3"/>
          </reference>
        </references>
      </pivotArea>
    </chartFormat>
    <chartFormat chart="10" format="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D657C0-7C58-4097-A2A8-C4095403133A}"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3">
  <location ref="A37:A38" firstHeaderRow="1" firstDataRow="1" firstDataCol="0"/>
  <pivotFields count="9">
    <pivotField numFmtId="14" showAll="0">
      <items count="15">
        <item x="0"/>
        <item x="1"/>
        <item x="2"/>
        <item x="3"/>
        <item x="4"/>
        <item x="5"/>
        <item x="6"/>
        <item x="7"/>
        <item x="8"/>
        <item x="9"/>
        <item x="10"/>
        <item x="11"/>
        <item x="12"/>
        <item x="13"/>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8A17A0-1ABF-4D06-B5B7-7F28102AB14C}"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5">
  <location ref="A27:B34"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66F824-4DA5-41BE-A5B5-4B51C0B88AAA}"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6">
  <location ref="A44:B48"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DEB461-D248-45F8-B118-FC8C5AADEC9D}" name="PivotTable10"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1">
  <location ref="A60:B67" firstHeaderRow="1" firstDataRow="1" firstDataCol="1"/>
  <pivotFields count="9">
    <pivotField numFmtId="14" showAll="0">
      <items count="15">
        <item x="0"/>
        <item x="1"/>
        <item x="2"/>
        <item x="3"/>
        <item x="4"/>
        <item x="5"/>
        <item x="6"/>
        <item x="7"/>
        <item x="8"/>
        <item x="9"/>
        <item x="10"/>
        <item x="11"/>
        <item x="12"/>
        <item x="13"/>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DA66D16D-F7DD-4AFD-8AC0-5E73C4AD8FA9}" sourceName="Place">
  <pivotTables>
    <pivotTable tabId="3" name="PivotTable1"/>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446737328">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E8CC52B6-DD39-4D73-AAED-13BB22EB2C36}" sourceName="Products">
  <pivotTables>
    <pivotTable tabId="3" name="PivotTable1"/>
    <pivotTable tabId="3" name="PivotTable3"/>
    <pivotTable tabId="3" name="PivotTable4"/>
    <pivotTable tabId="3" name="PivotTable5"/>
    <pivotTable tabId="3" name="PivotTable7"/>
    <pivotTable tabId="3" name="PivotTable10"/>
    <pivotTable tabId="3" name="PivotTable13"/>
    <pivotTable tabId="3" name="PivotTable11"/>
    <pivotTable tabId="3" name="PivotTable12"/>
  </pivotTables>
  <data>
    <tabular pivotCacheId="1446737328">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1E3E6ACB-A616-44C9-B769-40DDC539A59B}" cache="Slicer_Place" caption="Place" columnCount="2" style="SlicerStyleDark1" rowHeight="288000"/>
  <slicer name="Products" xr10:uid="{63BCFC65-A361-4D61-9244-2D27AFC537B0}" cache="Slicer_Products" caption="Products" columnCount="6" style="SlicerStyleDark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5BD8C300-8AF6-4878-9456-39C0558FB365}" cache="Slicer_Place" caption="Place" columnCount="2" style="SlicerStyleDark1" rowHeight="288000"/>
  <slicer name="Products 1" xr10:uid="{1915D097-603B-4805-82FA-222736D1331E}" cache="Slicer_Products" caption="Products" columnCount="6" style="SlicerStyleDark1"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E0E39A99-F6B8-418D-9DD5-23ADE186BC2F}" cache="Slicer_Place" caption="Place" columnCount="2" style="SlicerStyleDark1" rowHeight="288000"/>
  <slicer name="Products 2" xr10:uid="{91BCD0F3-DA33-49B9-9A65-732CD6A17771}" cache="Slicer_Products" caption="Products" columnCount="6" style="SlicerStyleDark1" rowHeight="36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B13437A3-4088-4786-938A-48D0789815BE}" cache="Slicer_Place" caption="Place" columnCount="2" style="SlicerStyleDark1" rowHeight="288000"/>
  <slicer name="Products 3" xr10:uid="{27A8CED8-BCE8-4821-AFF6-6F0A2F651C03}" cache="Slicer_Products" caption="Products" columnCount="6" style="SlicerStyleDark1" rowHeight="684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B71075F-151E-4230-A943-87992BBD4038}" sourceName="Date">
  <pivotTables>
    <pivotTable tabId="3" name="PivotTable1"/>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 tabId="3" name="PivotTable13"/>
  </pivotTables>
  <state minimalRefreshVersion="6" lastRefreshVersion="6" pivotCacheId="1446737328"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0A1454B-1B82-4FD3-B21A-FC6FFE9FC44E}" cache="NativeTimeline_Date" caption="Date" showHorizontalScrollbar="0" level="2" selectionLevel="2" scrollPosition="2020-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EAB0F53-6AD9-4264-9BAB-2D4C1B55A9C5}" cache="NativeTimeline_Date" caption="Date" showHorizontalScrollbar="0" level="2" selectionLevel="2" scrollPosition="2020-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F79BF38-D951-4051-BDC5-51CB92660509}" cache="NativeTimeline_Date" caption="Date" showHorizontalScrollbar="0" level="2" selectionLevel="2" scrollPosition="2020-01-01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0395D0D-7D5C-4783-BC7B-3834011F431C}" cache="NativeTimeline_Date" caption="Date" showHorizontalScrollbar="0" level="2" selectionLevel="2" scrollPosition="2020-01-01T00:00:00" style="TimeSlicerStyleDark1"/>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topLeftCell="A29" workbookViewId="0">
      <selection activeCell="I10" sqref="I10"/>
    </sheetView>
  </sheetViews>
  <sheetFormatPr defaultRowHeight="16.5" x14ac:dyDescent="0.3"/>
  <cols>
    <col min="1" max="1" width="15.4140625" customWidth="1"/>
    <col min="2" max="2" width="16.1640625" customWidth="1"/>
    <col min="3" max="3" width="11.4140625" customWidth="1"/>
    <col min="4" max="4" width="11.58203125" customWidth="1"/>
    <col min="5" max="5" width="9.33203125" customWidth="1"/>
    <col min="6" max="6" width="6.58203125" customWidth="1"/>
    <col min="7" max="7" width="12.6640625" customWidth="1"/>
  </cols>
  <sheetData>
    <row r="1" spans="1:7" ht="18" x14ac:dyDescent="0.4">
      <c r="A1" s="1" t="s">
        <v>0</v>
      </c>
      <c r="B1" s="2" t="s">
        <v>1</v>
      </c>
      <c r="C1" s="2" t="s">
        <v>2</v>
      </c>
      <c r="D1" s="2" t="s">
        <v>3</v>
      </c>
      <c r="E1" s="2" t="s">
        <v>4</v>
      </c>
      <c r="F1" s="2" t="s">
        <v>5</v>
      </c>
      <c r="G1" s="2" t="s">
        <v>6</v>
      </c>
    </row>
    <row r="2" spans="1:7" ht="15.5" x14ac:dyDescent="0.35">
      <c r="A2" s="3">
        <v>43831</v>
      </c>
      <c r="B2" s="4" t="s">
        <v>7</v>
      </c>
      <c r="C2" s="4" t="s">
        <v>8</v>
      </c>
      <c r="D2" s="4" t="s">
        <v>9</v>
      </c>
      <c r="E2" s="4">
        <v>499</v>
      </c>
      <c r="F2" s="4">
        <v>50</v>
      </c>
      <c r="G2" s="5">
        <f>E2*F2</f>
        <v>24950</v>
      </c>
    </row>
    <row r="3" spans="1:7" ht="15.5" x14ac:dyDescent="0.35">
      <c r="A3" s="6">
        <v>43835</v>
      </c>
      <c r="B3" s="7" t="s">
        <v>10</v>
      </c>
      <c r="C3" s="7" t="s">
        <v>8</v>
      </c>
      <c r="D3" s="7" t="s">
        <v>11</v>
      </c>
      <c r="E3" s="7">
        <v>5599</v>
      </c>
      <c r="F3" s="7">
        <v>33</v>
      </c>
      <c r="G3" s="8">
        <f t="shared" ref="G3:G66" si="0">E3*F3</f>
        <v>184767</v>
      </c>
    </row>
    <row r="4" spans="1:7" ht="15.5" x14ac:dyDescent="0.35">
      <c r="A4" s="3">
        <v>43839</v>
      </c>
      <c r="B4" s="4" t="s">
        <v>12</v>
      </c>
      <c r="C4" s="4" t="s">
        <v>13</v>
      </c>
      <c r="D4" s="4" t="s">
        <v>14</v>
      </c>
      <c r="E4" s="4">
        <v>1450</v>
      </c>
      <c r="F4" s="4">
        <v>44</v>
      </c>
      <c r="G4" s="5">
        <f t="shared" si="0"/>
        <v>63800</v>
      </c>
    </row>
    <row r="5" spans="1:7" ht="15.5" x14ac:dyDescent="0.35">
      <c r="A5" s="6">
        <v>43843</v>
      </c>
      <c r="B5" s="7" t="s">
        <v>15</v>
      </c>
      <c r="C5" s="7" t="s">
        <v>16</v>
      </c>
      <c r="D5" s="7" t="s">
        <v>9</v>
      </c>
      <c r="E5" s="7">
        <v>85000</v>
      </c>
      <c r="F5" s="7">
        <v>50</v>
      </c>
      <c r="G5" s="8">
        <f t="shared" si="0"/>
        <v>4250000</v>
      </c>
    </row>
    <row r="6" spans="1:7" ht="15.5" x14ac:dyDescent="0.35">
      <c r="A6" s="3">
        <v>43847</v>
      </c>
      <c r="B6" s="4" t="s">
        <v>15</v>
      </c>
      <c r="C6" s="4" t="s">
        <v>17</v>
      </c>
      <c r="D6" s="4" t="s">
        <v>18</v>
      </c>
      <c r="E6" s="4">
        <v>15000</v>
      </c>
      <c r="F6" s="4">
        <v>11</v>
      </c>
      <c r="G6" s="5">
        <f t="shared" si="0"/>
        <v>165000</v>
      </c>
    </row>
    <row r="7" spans="1:7" ht="15.5" x14ac:dyDescent="0.35">
      <c r="A7" s="6">
        <v>43851</v>
      </c>
      <c r="B7" s="7" t="s">
        <v>10</v>
      </c>
      <c r="C7" s="7" t="s">
        <v>8</v>
      </c>
      <c r="D7" s="7" t="s">
        <v>18</v>
      </c>
      <c r="E7" s="7">
        <v>2550</v>
      </c>
      <c r="F7" s="7">
        <v>48</v>
      </c>
      <c r="G7" s="8">
        <f t="shared" si="0"/>
        <v>122400</v>
      </c>
    </row>
    <row r="8" spans="1:7" ht="15.5" x14ac:dyDescent="0.35">
      <c r="A8" s="3">
        <v>43855</v>
      </c>
      <c r="B8" s="4" t="s">
        <v>19</v>
      </c>
      <c r="C8" s="4" t="s">
        <v>20</v>
      </c>
      <c r="D8" s="4" t="s">
        <v>14</v>
      </c>
      <c r="E8" s="4">
        <v>33000</v>
      </c>
      <c r="F8" s="4">
        <v>26</v>
      </c>
      <c r="G8" s="5">
        <f t="shared" si="0"/>
        <v>858000</v>
      </c>
    </row>
    <row r="9" spans="1:7" ht="15.5" x14ac:dyDescent="0.35">
      <c r="A9" s="6">
        <v>43859</v>
      </c>
      <c r="B9" s="7" t="s">
        <v>7</v>
      </c>
      <c r="C9" s="7" t="s">
        <v>16</v>
      </c>
      <c r="D9" s="7" t="s">
        <v>21</v>
      </c>
      <c r="E9" s="7">
        <v>86000</v>
      </c>
      <c r="F9" s="7">
        <v>39</v>
      </c>
      <c r="G9" s="8">
        <f t="shared" si="0"/>
        <v>3354000</v>
      </c>
    </row>
    <row r="10" spans="1:7" ht="15.5" x14ac:dyDescent="0.35">
      <c r="A10" s="3">
        <v>43863</v>
      </c>
      <c r="B10" s="4" t="s">
        <v>12</v>
      </c>
      <c r="C10" s="4" t="s">
        <v>22</v>
      </c>
      <c r="D10" s="4" t="s">
        <v>18</v>
      </c>
      <c r="E10" s="4">
        <v>990</v>
      </c>
      <c r="F10" s="4">
        <v>9</v>
      </c>
      <c r="G10" s="5">
        <f t="shared" si="0"/>
        <v>8910</v>
      </c>
    </row>
    <row r="11" spans="1:7" ht="15.5" x14ac:dyDescent="0.35">
      <c r="A11" s="6">
        <v>43867</v>
      </c>
      <c r="B11" s="7" t="s">
        <v>7</v>
      </c>
      <c r="C11" s="7" t="s">
        <v>8</v>
      </c>
      <c r="D11" s="7" t="s">
        <v>9</v>
      </c>
      <c r="E11" s="7">
        <v>5599</v>
      </c>
      <c r="F11" s="7">
        <v>41</v>
      </c>
      <c r="G11" s="8">
        <f t="shared" si="0"/>
        <v>229559</v>
      </c>
    </row>
    <row r="12" spans="1:7" ht="15.5" x14ac:dyDescent="0.35">
      <c r="A12" s="3">
        <v>43871</v>
      </c>
      <c r="B12" s="4" t="s">
        <v>19</v>
      </c>
      <c r="C12" s="4" t="s">
        <v>20</v>
      </c>
      <c r="D12" s="4" t="s">
        <v>14</v>
      </c>
      <c r="E12" s="4">
        <v>499</v>
      </c>
      <c r="F12" s="4">
        <v>39</v>
      </c>
      <c r="G12" s="5">
        <f t="shared" si="0"/>
        <v>19461</v>
      </c>
    </row>
    <row r="13" spans="1:7" ht="15.5" x14ac:dyDescent="0.35">
      <c r="A13" s="6">
        <v>43875</v>
      </c>
      <c r="B13" s="7" t="s">
        <v>10</v>
      </c>
      <c r="C13" s="7" t="s">
        <v>22</v>
      </c>
      <c r="D13" s="7" t="s">
        <v>9</v>
      </c>
      <c r="E13" s="7">
        <v>1999</v>
      </c>
      <c r="F13" s="7">
        <v>4</v>
      </c>
      <c r="G13" s="8">
        <f t="shared" si="0"/>
        <v>7996</v>
      </c>
    </row>
    <row r="14" spans="1:7" ht="15.5" x14ac:dyDescent="0.35">
      <c r="A14" s="3">
        <v>43879</v>
      </c>
      <c r="B14" s="4" t="s">
        <v>15</v>
      </c>
      <c r="C14" s="4" t="s">
        <v>16</v>
      </c>
      <c r="D14" s="4" t="s">
        <v>9</v>
      </c>
      <c r="E14" s="4">
        <v>63400</v>
      </c>
      <c r="F14" s="4">
        <v>8</v>
      </c>
      <c r="G14" s="5">
        <f t="shared" si="0"/>
        <v>507200</v>
      </c>
    </row>
    <row r="15" spans="1:7" ht="15.5" x14ac:dyDescent="0.35">
      <c r="A15" s="6">
        <v>43883</v>
      </c>
      <c r="B15" s="7" t="s">
        <v>23</v>
      </c>
      <c r="C15" s="7" t="s">
        <v>22</v>
      </c>
      <c r="D15" s="7" t="s">
        <v>18</v>
      </c>
      <c r="E15" s="7">
        <v>1499</v>
      </c>
      <c r="F15" s="7">
        <v>27</v>
      </c>
      <c r="G15" s="8">
        <f t="shared" si="0"/>
        <v>40473</v>
      </c>
    </row>
    <row r="16" spans="1:7" ht="15.5" x14ac:dyDescent="0.35">
      <c r="A16" s="3">
        <v>43887</v>
      </c>
      <c r="B16" s="4" t="s">
        <v>15</v>
      </c>
      <c r="C16" s="4" t="s">
        <v>17</v>
      </c>
      <c r="D16" s="4" t="s">
        <v>14</v>
      </c>
      <c r="E16" s="4">
        <v>120</v>
      </c>
      <c r="F16" s="4">
        <v>10</v>
      </c>
      <c r="G16" s="5">
        <f t="shared" si="0"/>
        <v>1200</v>
      </c>
    </row>
    <row r="17" spans="1:7" ht="15.5" x14ac:dyDescent="0.35">
      <c r="A17" s="6">
        <v>43891</v>
      </c>
      <c r="B17" s="7" t="s">
        <v>10</v>
      </c>
      <c r="C17" s="7" t="s">
        <v>20</v>
      </c>
      <c r="D17" s="7" t="s">
        <v>21</v>
      </c>
      <c r="E17" s="7">
        <v>11999</v>
      </c>
      <c r="F17" s="7">
        <v>17</v>
      </c>
      <c r="G17" s="8">
        <f t="shared" si="0"/>
        <v>203983</v>
      </c>
    </row>
    <row r="18" spans="1:7" ht="15.5" x14ac:dyDescent="0.35">
      <c r="A18" s="3">
        <v>43895</v>
      </c>
      <c r="B18" s="4" t="s">
        <v>12</v>
      </c>
      <c r="C18" s="4" t="s">
        <v>16</v>
      </c>
      <c r="D18" s="4" t="s">
        <v>11</v>
      </c>
      <c r="E18" s="4">
        <v>47500</v>
      </c>
      <c r="F18" s="4">
        <v>27</v>
      </c>
      <c r="G18" s="5">
        <f t="shared" si="0"/>
        <v>1282500</v>
      </c>
    </row>
    <row r="19" spans="1:7" ht="15.5" x14ac:dyDescent="0.35">
      <c r="A19" s="6">
        <v>43899</v>
      </c>
      <c r="B19" s="7" t="s">
        <v>19</v>
      </c>
      <c r="C19" s="7" t="s">
        <v>20</v>
      </c>
      <c r="D19" s="7" t="s">
        <v>11</v>
      </c>
      <c r="E19" s="7">
        <v>2999</v>
      </c>
      <c r="F19" s="7">
        <v>43</v>
      </c>
      <c r="G19" s="8">
        <f t="shared" si="0"/>
        <v>128957</v>
      </c>
    </row>
    <row r="20" spans="1:7" ht="15.5" x14ac:dyDescent="0.35">
      <c r="A20" s="3">
        <v>43903</v>
      </c>
      <c r="B20" s="4" t="s">
        <v>15</v>
      </c>
      <c r="C20" s="4" t="s">
        <v>17</v>
      </c>
      <c r="D20" s="4" t="s">
        <v>11</v>
      </c>
      <c r="E20" s="4">
        <v>8900</v>
      </c>
      <c r="F20" s="4">
        <v>9</v>
      </c>
      <c r="G20" s="5">
        <f t="shared" si="0"/>
        <v>80100</v>
      </c>
    </row>
    <row r="21" spans="1:7" ht="15.5" x14ac:dyDescent="0.35">
      <c r="A21" s="6">
        <v>43907</v>
      </c>
      <c r="B21" s="7" t="s">
        <v>10</v>
      </c>
      <c r="C21" s="7" t="s">
        <v>20</v>
      </c>
      <c r="D21" s="7" t="s">
        <v>9</v>
      </c>
      <c r="E21" s="7">
        <v>22000</v>
      </c>
      <c r="F21" s="7">
        <v>42</v>
      </c>
      <c r="G21" s="8">
        <f t="shared" si="0"/>
        <v>924000</v>
      </c>
    </row>
    <row r="22" spans="1:7" ht="15.5" x14ac:dyDescent="0.35">
      <c r="A22" s="3">
        <v>43911</v>
      </c>
      <c r="B22" s="4" t="s">
        <v>12</v>
      </c>
      <c r="C22" s="4" t="s">
        <v>13</v>
      </c>
      <c r="D22" s="4" t="s">
        <v>11</v>
      </c>
      <c r="E22" s="4">
        <v>1250</v>
      </c>
      <c r="F22" s="4">
        <v>6</v>
      </c>
      <c r="G22" s="5">
        <f t="shared" si="0"/>
        <v>7500</v>
      </c>
    </row>
    <row r="23" spans="1:7" ht="15.5" x14ac:dyDescent="0.35">
      <c r="A23" s="6">
        <v>43915</v>
      </c>
      <c r="B23" s="7" t="s">
        <v>15</v>
      </c>
      <c r="C23" s="7" t="s">
        <v>17</v>
      </c>
      <c r="D23" s="7" t="s">
        <v>18</v>
      </c>
      <c r="E23" s="7">
        <v>999</v>
      </c>
      <c r="F23" s="7">
        <v>28</v>
      </c>
      <c r="G23" s="8">
        <f t="shared" si="0"/>
        <v>27972</v>
      </c>
    </row>
    <row r="24" spans="1:7" ht="15.5" x14ac:dyDescent="0.35">
      <c r="A24" s="3">
        <v>43919</v>
      </c>
      <c r="B24" s="4" t="s">
        <v>19</v>
      </c>
      <c r="C24" s="4" t="s">
        <v>13</v>
      </c>
      <c r="D24" s="4" t="s">
        <v>21</v>
      </c>
      <c r="E24" s="4">
        <v>1450</v>
      </c>
      <c r="F24" s="4">
        <v>13</v>
      </c>
      <c r="G24" s="5">
        <f t="shared" si="0"/>
        <v>18850</v>
      </c>
    </row>
    <row r="25" spans="1:7" ht="15.5" x14ac:dyDescent="0.35">
      <c r="A25" s="6">
        <v>43923</v>
      </c>
      <c r="B25" s="7" t="s">
        <v>19</v>
      </c>
      <c r="C25" s="7" t="s">
        <v>13</v>
      </c>
      <c r="D25" s="7" t="s">
        <v>14</v>
      </c>
      <c r="E25" s="7">
        <v>23999</v>
      </c>
      <c r="F25" s="7">
        <v>8</v>
      </c>
      <c r="G25" s="8">
        <f t="shared" si="0"/>
        <v>191992</v>
      </c>
    </row>
    <row r="26" spans="1:7" ht="15.5" x14ac:dyDescent="0.35">
      <c r="A26" s="3">
        <v>43927</v>
      </c>
      <c r="B26" s="4" t="s">
        <v>10</v>
      </c>
      <c r="C26" s="4" t="s">
        <v>16</v>
      </c>
      <c r="D26" s="4" t="s">
        <v>21</v>
      </c>
      <c r="E26" s="4">
        <v>65200</v>
      </c>
      <c r="F26" s="4">
        <v>7</v>
      </c>
      <c r="G26" s="5">
        <f t="shared" si="0"/>
        <v>456400</v>
      </c>
    </row>
    <row r="27" spans="1:7" ht="15.5" x14ac:dyDescent="0.35">
      <c r="A27" s="6">
        <v>43931</v>
      </c>
      <c r="B27" s="7" t="s">
        <v>10</v>
      </c>
      <c r="C27" s="7" t="s">
        <v>22</v>
      </c>
      <c r="D27" s="7" t="s">
        <v>11</v>
      </c>
      <c r="E27" s="7">
        <v>699</v>
      </c>
      <c r="F27" s="7">
        <v>45</v>
      </c>
      <c r="G27" s="8">
        <f t="shared" si="0"/>
        <v>31455</v>
      </c>
    </row>
    <row r="28" spans="1:7" ht="15.5" x14ac:dyDescent="0.35">
      <c r="A28" s="3">
        <v>43935</v>
      </c>
      <c r="B28" s="4" t="s">
        <v>7</v>
      </c>
      <c r="C28" s="4" t="s">
        <v>8</v>
      </c>
      <c r="D28" s="4" t="s">
        <v>9</v>
      </c>
      <c r="E28" s="4">
        <v>2550</v>
      </c>
      <c r="F28" s="4">
        <v>22</v>
      </c>
      <c r="G28" s="5">
        <f t="shared" si="0"/>
        <v>56100</v>
      </c>
    </row>
    <row r="29" spans="1:7" ht="15.5" x14ac:dyDescent="0.35">
      <c r="A29" s="6">
        <v>43939</v>
      </c>
      <c r="B29" s="7" t="s">
        <v>12</v>
      </c>
      <c r="C29" s="7" t="s">
        <v>20</v>
      </c>
      <c r="D29" s="7" t="s">
        <v>21</v>
      </c>
      <c r="E29" s="7">
        <v>22000</v>
      </c>
      <c r="F29" s="7">
        <v>4</v>
      </c>
      <c r="G29" s="8">
        <f t="shared" si="0"/>
        <v>88000</v>
      </c>
    </row>
    <row r="30" spans="1:7" ht="15.5" x14ac:dyDescent="0.35">
      <c r="A30" s="3">
        <v>43943</v>
      </c>
      <c r="B30" s="4" t="s">
        <v>19</v>
      </c>
      <c r="C30" s="4" t="s">
        <v>16</v>
      </c>
      <c r="D30" s="4" t="s">
        <v>9</v>
      </c>
      <c r="E30" s="4">
        <v>22000</v>
      </c>
      <c r="F30" s="4">
        <v>10</v>
      </c>
      <c r="G30" s="5">
        <f t="shared" si="0"/>
        <v>220000</v>
      </c>
    </row>
    <row r="31" spans="1:7" ht="15.5" x14ac:dyDescent="0.35">
      <c r="A31" s="6">
        <v>43947</v>
      </c>
      <c r="B31" s="7" t="s">
        <v>23</v>
      </c>
      <c r="C31" s="7" t="s">
        <v>22</v>
      </c>
      <c r="D31" s="7" t="s">
        <v>18</v>
      </c>
      <c r="E31" s="7">
        <v>1499</v>
      </c>
      <c r="F31" s="7">
        <v>16</v>
      </c>
      <c r="G31" s="8">
        <f t="shared" si="0"/>
        <v>23984</v>
      </c>
    </row>
    <row r="32" spans="1:7" ht="15.5" x14ac:dyDescent="0.35">
      <c r="A32" s="3">
        <v>43951</v>
      </c>
      <c r="B32" s="4" t="s">
        <v>10</v>
      </c>
      <c r="C32" s="4" t="s">
        <v>17</v>
      </c>
      <c r="D32" s="4" t="s">
        <v>21</v>
      </c>
      <c r="E32" s="4">
        <v>120</v>
      </c>
      <c r="F32" s="4">
        <v>22</v>
      </c>
      <c r="G32" s="5">
        <f t="shared" si="0"/>
        <v>2640</v>
      </c>
    </row>
    <row r="33" spans="1:7" ht="15.5" x14ac:dyDescent="0.35">
      <c r="A33" s="6">
        <v>43955</v>
      </c>
      <c r="B33" s="7" t="s">
        <v>7</v>
      </c>
      <c r="C33" s="7" t="s">
        <v>8</v>
      </c>
      <c r="D33" s="7" t="s">
        <v>14</v>
      </c>
      <c r="E33" s="7">
        <v>1450</v>
      </c>
      <c r="F33" s="7">
        <v>20</v>
      </c>
      <c r="G33" s="8">
        <f t="shared" si="0"/>
        <v>29000</v>
      </c>
    </row>
    <row r="34" spans="1:7" ht="15.5" x14ac:dyDescent="0.35">
      <c r="A34" s="3">
        <v>43959</v>
      </c>
      <c r="B34" s="4" t="s">
        <v>23</v>
      </c>
      <c r="C34" s="4" t="s">
        <v>22</v>
      </c>
      <c r="D34" s="4" t="s">
        <v>18</v>
      </c>
      <c r="E34" s="4">
        <v>1999</v>
      </c>
      <c r="F34" s="4">
        <v>23</v>
      </c>
      <c r="G34" s="5">
        <f t="shared" si="0"/>
        <v>45977</v>
      </c>
    </row>
    <row r="35" spans="1:7" ht="15.5" x14ac:dyDescent="0.35">
      <c r="A35" s="6">
        <v>43963</v>
      </c>
      <c r="B35" s="7" t="s">
        <v>10</v>
      </c>
      <c r="C35" s="7" t="s">
        <v>8</v>
      </c>
      <c r="D35" s="7" t="s">
        <v>9</v>
      </c>
      <c r="E35" s="7">
        <v>800</v>
      </c>
      <c r="F35" s="7">
        <v>43</v>
      </c>
      <c r="G35" s="8">
        <f t="shared" si="0"/>
        <v>34400</v>
      </c>
    </row>
    <row r="36" spans="1:7" ht="15.5" x14ac:dyDescent="0.35">
      <c r="A36" s="3">
        <v>43967</v>
      </c>
      <c r="B36" s="4" t="s">
        <v>12</v>
      </c>
      <c r="C36" s="4" t="s">
        <v>17</v>
      </c>
      <c r="D36" s="4" t="s">
        <v>18</v>
      </c>
      <c r="E36" s="4">
        <v>18000</v>
      </c>
      <c r="F36" s="4">
        <v>41</v>
      </c>
      <c r="G36" s="5">
        <f t="shared" si="0"/>
        <v>738000</v>
      </c>
    </row>
    <row r="37" spans="1:7" ht="15.5" x14ac:dyDescent="0.35">
      <c r="A37" s="6">
        <v>43971</v>
      </c>
      <c r="B37" s="7" t="s">
        <v>7</v>
      </c>
      <c r="C37" s="7" t="s">
        <v>8</v>
      </c>
      <c r="D37" s="7" t="s">
        <v>11</v>
      </c>
      <c r="E37" s="7">
        <v>13999</v>
      </c>
      <c r="F37" s="7">
        <v>37</v>
      </c>
      <c r="G37" s="8">
        <f t="shared" si="0"/>
        <v>517963</v>
      </c>
    </row>
    <row r="38" spans="1:7" ht="15.5" x14ac:dyDescent="0.35">
      <c r="A38" s="3">
        <v>43975</v>
      </c>
      <c r="B38" s="4" t="s">
        <v>10</v>
      </c>
      <c r="C38" s="4" t="s">
        <v>20</v>
      </c>
      <c r="D38" s="4" t="s">
        <v>18</v>
      </c>
      <c r="E38" s="4">
        <v>22000</v>
      </c>
      <c r="F38" s="4">
        <v>45</v>
      </c>
      <c r="G38" s="5">
        <f t="shared" si="0"/>
        <v>990000</v>
      </c>
    </row>
    <row r="39" spans="1:7" ht="15.5" x14ac:dyDescent="0.35">
      <c r="A39" s="6">
        <v>43979</v>
      </c>
      <c r="B39" s="7" t="s">
        <v>19</v>
      </c>
      <c r="C39" s="7" t="s">
        <v>16</v>
      </c>
      <c r="D39" s="7" t="s">
        <v>9</v>
      </c>
      <c r="E39" s="7">
        <v>89999</v>
      </c>
      <c r="F39" s="7">
        <v>15</v>
      </c>
      <c r="G39" s="8">
        <f t="shared" si="0"/>
        <v>1349985</v>
      </c>
    </row>
    <row r="40" spans="1:7" ht="15.5" x14ac:dyDescent="0.35">
      <c r="A40" s="3">
        <v>43983</v>
      </c>
      <c r="B40" s="4" t="s">
        <v>7</v>
      </c>
      <c r="C40" s="4" t="s">
        <v>8</v>
      </c>
      <c r="D40" s="4" t="s">
        <v>14</v>
      </c>
      <c r="E40" s="4">
        <v>13999</v>
      </c>
      <c r="F40" s="4">
        <v>22</v>
      </c>
      <c r="G40" s="5">
        <f t="shared" si="0"/>
        <v>307978</v>
      </c>
    </row>
    <row r="41" spans="1:7" ht="15.5" x14ac:dyDescent="0.35">
      <c r="A41" s="6">
        <v>43987</v>
      </c>
      <c r="B41" s="7" t="s">
        <v>12</v>
      </c>
      <c r="C41" s="7" t="s">
        <v>22</v>
      </c>
      <c r="D41" s="7" t="s">
        <v>11</v>
      </c>
      <c r="E41" s="7">
        <v>2900</v>
      </c>
      <c r="F41" s="7">
        <v>20</v>
      </c>
      <c r="G41" s="8">
        <f t="shared" si="0"/>
        <v>58000</v>
      </c>
    </row>
    <row r="42" spans="1:7" ht="15.5" x14ac:dyDescent="0.35">
      <c r="A42" s="3">
        <v>43991</v>
      </c>
      <c r="B42" s="4" t="s">
        <v>10</v>
      </c>
      <c r="C42" s="4" t="s">
        <v>20</v>
      </c>
      <c r="D42" s="4" t="s">
        <v>18</v>
      </c>
      <c r="E42" s="4">
        <v>33000</v>
      </c>
      <c r="F42" s="4">
        <v>16</v>
      </c>
      <c r="G42" s="5">
        <f t="shared" si="0"/>
        <v>528000</v>
      </c>
    </row>
    <row r="43" spans="1:7" ht="15.5" x14ac:dyDescent="0.35">
      <c r="A43" s="6">
        <v>43995</v>
      </c>
      <c r="B43" s="7" t="s">
        <v>12</v>
      </c>
      <c r="C43" s="7" t="s">
        <v>20</v>
      </c>
      <c r="D43" s="7" t="s">
        <v>11</v>
      </c>
      <c r="E43" s="7">
        <v>22000</v>
      </c>
      <c r="F43" s="7">
        <v>17</v>
      </c>
      <c r="G43" s="8">
        <f t="shared" si="0"/>
        <v>374000</v>
      </c>
    </row>
    <row r="44" spans="1:7" ht="15.5" x14ac:dyDescent="0.35">
      <c r="A44" s="3">
        <v>43999</v>
      </c>
      <c r="B44" s="4" t="s">
        <v>23</v>
      </c>
      <c r="C44" s="4" t="s">
        <v>22</v>
      </c>
      <c r="D44" s="4" t="s">
        <v>11</v>
      </c>
      <c r="E44" s="4">
        <v>699</v>
      </c>
      <c r="F44" s="4">
        <v>50</v>
      </c>
      <c r="G44" s="5">
        <f t="shared" si="0"/>
        <v>34950</v>
      </c>
    </row>
    <row r="45" spans="1:7" ht="15.5" x14ac:dyDescent="0.35">
      <c r="A45" s="6">
        <v>44003</v>
      </c>
      <c r="B45" s="7" t="s">
        <v>19</v>
      </c>
      <c r="C45" s="7" t="s">
        <v>20</v>
      </c>
      <c r="D45" s="7" t="s">
        <v>14</v>
      </c>
      <c r="E45" s="7">
        <v>499</v>
      </c>
      <c r="F45" s="7">
        <v>4</v>
      </c>
      <c r="G45" s="8">
        <f t="shared" si="0"/>
        <v>1996</v>
      </c>
    </row>
    <row r="46" spans="1:7" ht="15.5" x14ac:dyDescent="0.35">
      <c r="A46" s="3">
        <v>44007</v>
      </c>
      <c r="B46" s="4" t="s">
        <v>10</v>
      </c>
      <c r="C46" s="4" t="s">
        <v>22</v>
      </c>
      <c r="D46" s="4" t="s">
        <v>18</v>
      </c>
      <c r="E46" s="4">
        <v>590</v>
      </c>
      <c r="F46" s="4">
        <v>43</v>
      </c>
      <c r="G46" s="5">
        <f t="shared" si="0"/>
        <v>25370</v>
      </c>
    </row>
    <row r="47" spans="1:7" ht="15.5" x14ac:dyDescent="0.35">
      <c r="A47" s="6">
        <v>44011</v>
      </c>
      <c r="B47" s="7" t="s">
        <v>23</v>
      </c>
      <c r="C47" s="7" t="s">
        <v>22</v>
      </c>
      <c r="D47" s="7" t="s">
        <v>11</v>
      </c>
      <c r="E47" s="7">
        <v>590</v>
      </c>
      <c r="F47" s="7">
        <v>42</v>
      </c>
      <c r="G47" s="8">
        <f t="shared" si="0"/>
        <v>24780</v>
      </c>
    </row>
    <row r="48" spans="1:7" ht="15.5" x14ac:dyDescent="0.35">
      <c r="A48" s="3">
        <v>44015</v>
      </c>
      <c r="B48" s="4" t="s">
        <v>10</v>
      </c>
      <c r="C48" s="4" t="s">
        <v>16</v>
      </c>
      <c r="D48" s="4" t="s">
        <v>9</v>
      </c>
      <c r="E48" s="4">
        <v>120</v>
      </c>
      <c r="F48" s="4">
        <v>9</v>
      </c>
      <c r="G48" s="5">
        <f t="shared" si="0"/>
        <v>1080</v>
      </c>
    </row>
    <row r="49" spans="1:7" ht="15.5" x14ac:dyDescent="0.35">
      <c r="A49" s="6">
        <v>44019</v>
      </c>
      <c r="B49" s="7" t="s">
        <v>19</v>
      </c>
      <c r="C49" s="7" t="s">
        <v>20</v>
      </c>
      <c r="D49" s="7" t="s">
        <v>21</v>
      </c>
      <c r="E49" s="7">
        <v>52000</v>
      </c>
      <c r="F49" s="7">
        <v>40</v>
      </c>
      <c r="G49" s="8">
        <f t="shared" si="0"/>
        <v>2080000</v>
      </c>
    </row>
    <row r="50" spans="1:7" ht="15.5" x14ac:dyDescent="0.35">
      <c r="A50" s="3">
        <v>44023</v>
      </c>
      <c r="B50" s="4" t="s">
        <v>12</v>
      </c>
      <c r="C50" s="4" t="s">
        <v>13</v>
      </c>
      <c r="D50" s="4" t="s">
        <v>18</v>
      </c>
      <c r="E50" s="4">
        <v>7999</v>
      </c>
      <c r="F50" s="4">
        <v>14</v>
      </c>
      <c r="G50" s="5">
        <f t="shared" si="0"/>
        <v>111986</v>
      </c>
    </row>
    <row r="51" spans="1:7" ht="15.5" x14ac:dyDescent="0.35">
      <c r="A51" s="6">
        <v>44027</v>
      </c>
      <c r="B51" s="7" t="s">
        <v>10</v>
      </c>
      <c r="C51" s="7" t="s">
        <v>13</v>
      </c>
      <c r="D51" s="7" t="s">
        <v>21</v>
      </c>
      <c r="E51" s="7">
        <v>550</v>
      </c>
      <c r="F51" s="7">
        <v>9</v>
      </c>
      <c r="G51" s="8">
        <f t="shared" si="0"/>
        <v>4950</v>
      </c>
    </row>
    <row r="52" spans="1:7" ht="15.5" x14ac:dyDescent="0.35">
      <c r="A52" s="3">
        <v>44031</v>
      </c>
      <c r="B52" s="4" t="s">
        <v>12</v>
      </c>
      <c r="C52" s="4" t="s">
        <v>16</v>
      </c>
      <c r="D52" s="4" t="s">
        <v>18</v>
      </c>
      <c r="E52" s="4">
        <v>79999</v>
      </c>
      <c r="F52" s="4">
        <v>10</v>
      </c>
      <c r="G52" s="5">
        <f t="shared" si="0"/>
        <v>799990</v>
      </c>
    </row>
    <row r="53" spans="1:7" ht="15.5" x14ac:dyDescent="0.35">
      <c r="A53" s="6">
        <v>44035</v>
      </c>
      <c r="B53" s="7" t="s">
        <v>23</v>
      </c>
      <c r="C53" s="7" t="s">
        <v>22</v>
      </c>
      <c r="D53" s="7" t="s">
        <v>18</v>
      </c>
      <c r="E53" s="7">
        <v>1999</v>
      </c>
      <c r="F53" s="7">
        <v>37</v>
      </c>
      <c r="G53" s="8">
        <f t="shared" si="0"/>
        <v>73963</v>
      </c>
    </row>
    <row r="54" spans="1:7" ht="15.5" x14ac:dyDescent="0.35">
      <c r="A54" s="3">
        <v>44039</v>
      </c>
      <c r="B54" s="4" t="s">
        <v>19</v>
      </c>
      <c r="C54" s="4" t="s">
        <v>20</v>
      </c>
      <c r="D54" s="4" t="s">
        <v>14</v>
      </c>
      <c r="E54" s="4">
        <v>89999</v>
      </c>
      <c r="F54" s="4">
        <v>29</v>
      </c>
      <c r="G54" s="5">
        <f t="shared" si="0"/>
        <v>2609971</v>
      </c>
    </row>
    <row r="55" spans="1:7" ht="15.5" x14ac:dyDescent="0.35">
      <c r="A55" s="6">
        <v>44043</v>
      </c>
      <c r="B55" s="7" t="s">
        <v>10</v>
      </c>
      <c r="C55" s="7" t="s">
        <v>16</v>
      </c>
      <c r="D55" s="7" t="s">
        <v>18</v>
      </c>
      <c r="E55" s="7">
        <v>78500</v>
      </c>
      <c r="F55" s="7">
        <v>44</v>
      </c>
      <c r="G55" s="8">
        <f t="shared" si="0"/>
        <v>3454000</v>
      </c>
    </row>
    <row r="56" spans="1:7" ht="15.5" x14ac:dyDescent="0.35">
      <c r="A56" s="3">
        <v>44047</v>
      </c>
      <c r="B56" s="4" t="s">
        <v>19</v>
      </c>
      <c r="C56" s="4" t="s">
        <v>20</v>
      </c>
      <c r="D56" s="4" t="s">
        <v>11</v>
      </c>
      <c r="E56" s="4">
        <v>3990</v>
      </c>
      <c r="F56" s="4">
        <v>31</v>
      </c>
      <c r="G56" s="5">
        <f t="shared" si="0"/>
        <v>123690</v>
      </c>
    </row>
    <row r="57" spans="1:7" ht="15.5" x14ac:dyDescent="0.35">
      <c r="A57" s="6">
        <v>44051</v>
      </c>
      <c r="B57" s="7" t="s">
        <v>12</v>
      </c>
      <c r="C57" s="7" t="s">
        <v>20</v>
      </c>
      <c r="D57" s="7" t="s">
        <v>18</v>
      </c>
      <c r="E57" s="7">
        <v>52000</v>
      </c>
      <c r="F57" s="7">
        <v>29</v>
      </c>
      <c r="G57" s="8">
        <f t="shared" si="0"/>
        <v>1508000</v>
      </c>
    </row>
    <row r="58" spans="1:7" ht="15.5" x14ac:dyDescent="0.35">
      <c r="A58" s="3">
        <v>44055</v>
      </c>
      <c r="B58" s="4" t="s">
        <v>7</v>
      </c>
      <c r="C58" s="4" t="s">
        <v>16</v>
      </c>
      <c r="D58" s="4" t="s">
        <v>18</v>
      </c>
      <c r="E58" s="4">
        <v>13999</v>
      </c>
      <c r="F58" s="4">
        <v>34</v>
      </c>
      <c r="G58" s="5">
        <f t="shared" si="0"/>
        <v>475966</v>
      </c>
    </row>
    <row r="59" spans="1:7" ht="15.5" x14ac:dyDescent="0.35">
      <c r="A59" s="6">
        <v>44059</v>
      </c>
      <c r="B59" s="7" t="s">
        <v>10</v>
      </c>
      <c r="C59" s="7" t="s">
        <v>17</v>
      </c>
      <c r="D59" s="7" t="s">
        <v>11</v>
      </c>
      <c r="E59" s="7">
        <v>120</v>
      </c>
      <c r="F59" s="7">
        <v>29</v>
      </c>
      <c r="G59" s="8">
        <f t="shared" si="0"/>
        <v>3480</v>
      </c>
    </row>
    <row r="60" spans="1:7" ht="15.5" x14ac:dyDescent="0.35">
      <c r="A60" s="3">
        <v>44063</v>
      </c>
      <c r="B60" s="4" t="s">
        <v>19</v>
      </c>
      <c r="C60" s="4" t="s">
        <v>13</v>
      </c>
      <c r="D60" s="4" t="s">
        <v>11</v>
      </c>
      <c r="E60" s="4">
        <v>23999</v>
      </c>
      <c r="F60" s="4">
        <v>25</v>
      </c>
      <c r="G60" s="5">
        <f t="shared" si="0"/>
        <v>599975</v>
      </c>
    </row>
    <row r="61" spans="1:7" ht="15.5" x14ac:dyDescent="0.35">
      <c r="A61" s="6">
        <v>44067</v>
      </c>
      <c r="B61" s="7" t="s">
        <v>19</v>
      </c>
      <c r="C61" s="7" t="s">
        <v>16</v>
      </c>
      <c r="D61" s="7" t="s">
        <v>18</v>
      </c>
      <c r="E61" s="7">
        <v>45000</v>
      </c>
      <c r="F61" s="7">
        <v>31</v>
      </c>
      <c r="G61" s="8">
        <f t="shared" si="0"/>
        <v>1395000</v>
      </c>
    </row>
    <row r="62" spans="1:7" ht="15.5" x14ac:dyDescent="0.35">
      <c r="A62" s="3">
        <v>44071</v>
      </c>
      <c r="B62" s="4" t="s">
        <v>10</v>
      </c>
      <c r="C62" s="4" t="s">
        <v>22</v>
      </c>
      <c r="D62" s="4" t="s">
        <v>11</v>
      </c>
      <c r="E62" s="4">
        <v>450</v>
      </c>
      <c r="F62" s="4">
        <v>16</v>
      </c>
      <c r="G62" s="5">
        <f t="shared" si="0"/>
        <v>7200</v>
      </c>
    </row>
    <row r="63" spans="1:7" ht="15.5" x14ac:dyDescent="0.35">
      <c r="A63" s="6">
        <v>44075</v>
      </c>
      <c r="B63" s="7" t="s">
        <v>15</v>
      </c>
      <c r="C63" s="7" t="s">
        <v>17</v>
      </c>
      <c r="D63" s="7" t="s">
        <v>18</v>
      </c>
      <c r="E63" s="7">
        <v>65000</v>
      </c>
      <c r="F63" s="7">
        <v>48</v>
      </c>
      <c r="G63" s="8">
        <f t="shared" si="0"/>
        <v>3120000</v>
      </c>
    </row>
    <row r="64" spans="1:7" ht="15.5" x14ac:dyDescent="0.35">
      <c r="A64" s="3">
        <v>44079</v>
      </c>
      <c r="B64" s="4" t="s">
        <v>12</v>
      </c>
      <c r="C64" s="4" t="s">
        <v>16</v>
      </c>
      <c r="D64" s="4" t="s">
        <v>21</v>
      </c>
      <c r="E64" s="4">
        <v>35600</v>
      </c>
      <c r="F64" s="4">
        <v>22</v>
      </c>
      <c r="G64" s="5">
        <f t="shared" si="0"/>
        <v>783200</v>
      </c>
    </row>
    <row r="65" spans="1:7" ht="15.5" x14ac:dyDescent="0.35">
      <c r="A65" s="6">
        <v>44083</v>
      </c>
      <c r="B65" s="7" t="s">
        <v>23</v>
      </c>
      <c r="C65" s="7" t="s">
        <v>22</v>
      </c>
      <c r="D65" s="7" t="s">
        <v>14</v>
      </c>
      <c r="E65" s="7">
        <v>699</v>
      </c>
      <c r="F65" s="7">
        <v>6</v>
      </c>
      <c r="G65" s="8">
        <f t="shared" si="0"/>
        <v>4194</v>
      </c>
    </row>
    <row r="66" spans="1:7" ht="15.5" x14ac:dyDescent="0.35">
      <c r="A66" s="3">
        <v>44087</v>
      </c>
      <c r="B66" s="4" t="s">
        <v>10</v>
      </c>
      <c r="C66" s="4" t="s">
        <v>22</v>
      </c>
      <c r="D66" s="4" t="s">
        <v>11</v>
      </c>
      <c r="E66" s="4">
        <v>990</v>
      </c>
      <c r="F66" s="4">
        <v>12</v>
      </c>
      <c r="G66" s="5">
        <f t="shared" si="0"/>
        <v>11880</v>
      </c>
    </row>
    <row r="67" spans="1:7" ht="15.5" x14ac:dyDescent="0.35">
      <c r="A67" s="6">
        <v>44091</v>
      </c>
      <c r="B67" s="7" t="s">
        <v>23</v>
      </c>
      <c r="C67" s="7" t="s">
        <v>16</v>
      </c>
      <c r="D67" s="7" t="s">
        <v>9</v>
      </c>
      <c r="E67" s="7">
        <v>450</v>
      </c>
      <c r="F67" s="7">
        <v>44</v>
      </c>
      <c r="G67" s="8">
        <f t="shared" ref="G67:G130" si="1">E67*F67</f>
        <v>19800</v>
      </c>
    </row>
    <row r="68" spans="1:7" ht="15.5" x14ac:dyDescent="0.35">
      <c r="A68" s="3">
        <v>44095</v>
      </c>
      <c r="B68" s="4" t="s">
        <v>23</v>
      </c>
      <c r="C68" s="4" t="s">
        <v>22</v>
      </c>
      <c r="D68" s="4" t="s">
        <v>14</v>
      </c>
      <c r="E68" s="4">
        <v>1499</v>
      </c>
      <c r="F68" s="4">
        <v>15</v>
      </c>
      <c r="G68" s="5">
        <f t="shared" si="1"/>
        <v>22485</v>
      </c>
    </row>
    <row r="69" spans="1:7" ht="15.5" x14ac:dyDescent="0.35">
      <c r="A69" s="6">
        <v>44099</v>
      </c>
      <c r="B69" s="7" t="s">
        <v>7</v>
      </c>
      <c r="C69" s="7" t="s">
        <v>8</v>
      </c>
      <c r="D69" s="7" t="s">
        <v>21</v>
      </c>
      <c r="E69" s="7">
        <v>499</v>
      </c>
      <c r="F69" s="7">
        <v>26</v>
      </c>
      <c r="G69" s="8">
        <f t="shared" si="1"/>
        <v>12974</v>
      </c>
    </row>
    <row r="70" spans="1:7" ht="15.5" x14ac:dyDescent="0.35">
      <c r="A70" s="3">
        <v>44103</v>
      </c>
      <c r="B70" s="4" t="s">
        <v>12</v>
      </c>
      <c r="C70" s="4" t="s">
        <v>16</v>
      </c>
      <c r="D70" s="4" t="s">
        <v>21</v>
      </c>
      <c r="E70" s="4">
        <v>44000</v>
      </c>
      <c r="F70" s="4">
        <v>16</v>
      </c>
      <c r="G70" s="5">
        <f t="shared" si="1"/>
        <v>704000</v>
      </c>
    </row>
    <row r="71" spans="1:7" ht="15.5" x14ac:dyDescent="0.35">
      <c r="A71" s="6">
        <v>44107</v>
      </c>
      <c r="B71" s="7" t="s">
        <v>7</v>
      </c>
      <c r="C71" s="7" t="s">
        <v>8</v>
      </c>
      <c r="D71" s="7" t="s">
        <v>18</v>
      </c>
      <c r="E71" s="7">
        <v>5599</v>
      </c>
      <c r="F71" s="7">
        <v>35</v>
      </c>
      <c r="G71" s="8">
        <f t="shared" si="1"/>
        <v>195965</v>
      </c>
    </row>
    <row r="72" spans="1:7" ht="15.5" x14ac:dyDescent="0.35">
      <c r="A72" s="3">
        <v>44111</v>
      </c>
      <c r="B72" s="4" t="s">
        <v>15</v>
      </c>
      <c r="C72" s="4" t="s">
        <v>16</v>
      </c>
      <c r="D72" s="4" t="s">
        <v>9</v>
      </c>
      <c r="E72" s="4">
        <v>54100</v>
      </c>
      <c r="F72" s="4">
        <v>36</v>
      </c>
      <c r="G72" s="5">
        <f t="shared" si="1"/>
        <v>1947600</v>
      </c>
    </row>
    <row r="73" spans="1:7" ht="15.5" x14ac:dyDescent="0.35">
      <c r="A73" s="6">
        <v>44115</v>
      </c>
      <c r="B73" s="7" t="s">
        <v>7</v>
      </c>
      <c r="C73" s="7" t="s">
        <v>8</v>
      </c>
      <c r="D73" s="7" t="s">
        <v>14</v>
      </c>
      <c r="E73" s="7">
        <v>2550</v>
      </c>
      <c r="F73" s="7">
        <v>20</v>
      </c>
      <c r="G73" s="8">
        <f t="shared" si="1"/>
        <v>51000</v>
      </c>
    </row>
    <row r="74" spans="1:7" ht="15.5" x14ac:dyDescent="0.35">
      <c r="A74" s="3">
        <v>44119</v>
      </c>
      <c r="B74" s="4" t="s">
        <v>10</v>
      </c>
      <c r="C74" s="4" t="s">
        <v>16</v>
      </c>
      <c r="D74" s="4" t="s">
        <v>14</v>
      </c>
      <c r="E74" s="4">
        <v>1450</v>
      </c>
      <c r="F74" s="4">
        <v>47</v>
      </c>
      <c r="G74" s="5">
        <f t="shared" si="1"/>
        <v>68150</v>
      </c>
    </row>
    <row r="75" spans="1:7" ht="15.5" x14ac:dyDescent="0.35">
      <c r="A75" s="6">
        <v>44123</v>
      </c>
      <c r="B75" s="7" t="s">
        <v>23</v>
      </c>
      <c r="C75" s="7" t="s">
        <v>22</v>
      </c>
      <c r="D75" s="7" t="s">
        <v>18</v>
      </c>
      <c r="E75" s="7">
        <v>2900</v>
      </c>
      <c r="F75" s="7">
        <v>6</v>
      </c>
      <c r="G75" s="8">
        <f t="shared" si="1"/>
        <v>17400</v>
      </c>
    </row>
    <row r="76" spans="1:7" ht="15.5" x14ac:dyDescent="0.35">
      <c r="A76" s="3">
        <v>44127</v>
      </c>
      <c r="B76" s="4" t="s">
        <v>15</v>
      </c>
      <c r="C76" s="4" t="s">
        <v>16</v>
      </c>
      <c r="D76" s="4" t="s">
        <v>21</v>
      </c>
      <c r="E76" s="4">
        <v>65200</v>
      </c>
      <c r="F76" s="4">
        <v>6</v>
      </c>
      <c r="G76" s="5">
        <f t="shared" si="1"/>
        <v>391200</v>
      </c>
    </row>
    <row r="77" spans="1:7" ht="15.5" x14ac:dyDescent="0.35">
      <c r="A77" s="6">
        <v>44131</v>
      </c>
      <c r="B77" s="7" t="s">
        <v>10</v>
      </c>
      <c r="C77" s="7" t="s">
        <v>20</v>
      </c>
      <c r="D77" s="7" t="s">
        <v>21</v>
      </c>
      <c r="E77" s="7">
        <v>52000</v>
      </c>
      <c r="F77" s="7">
        <v>41</v>
      </c>
      <c r="G77" s="8">
        <f t="shared" si="1"/>
        <v>2132000</v>
      </c>
    </row>
    <row r="78" spans="1:7" ht="15.5" x14ac:dyDescent="0.35">
      <c r="A78" s="3">
        <v>44135</v>
      </c>
      <c r="B78" s="4" t="s">
        <v>12</v>
      </c>
      <c r="C78" s="4" t="s">
        <v>16</v>
      </c>
      <c r="D78" s="4" t="s">
        <v>11</v>
      </c>
      <c r="E78" s="4">
        <v>59000</v>
      </c>
      <c r="F78" s="4">
        <v>29</v>
      </c>
      <c r="G78" s="5">
        <f t="shared" si="1"/>
        <v>1711000</v>
      </c>
    </row>
    <row r="79" spans="1:7" ht="15.5" x14ac:dyDescent="0.35">
      <c r="A79" s="6">
        <v>44139</v>
      </c>
      <c r="B79" s="7" t="s">
        <v>19</v>
      </c>
      <c r="C79" s="7" t="s">
        <v>13</v>
      </c>
      <c r="D79" s="7" t="s">
        <v>21</v>
      </c>
      <c r="E79" s="7">
        <v>7999</v>
      </c>
      <c r="F79" s="7">
        <v>31</v>
      </c>
      <c r="G79" s="8">
        <f t="shared" si="1"/>
        <v>247969</v>
      </c>
    </row>
    <row r="80" spans="1:7" ht="15.5" x14ac:dyDescent="0.35">
      <c r="A80" s="3">
        <v>44143</v>
      </c>
      <c r="B80" s="4" t="s">
        <v>10</v>
      </c>
      <c r="C80" s="4" t="s">
        <v>17</v>
      </c>
      <c r="D80" s="4" t="s">
        <v>11</v>
      </c>
      <c r="E80" s="4">
        <v>45000</v>
      </c>
      <c r="F80" s="4">
        <v>34</v>
      </c>
      <c r="G80" s="5">
        <f t="shared" si="1"/>
        <v>1530000</v>
      </c>
    </row>
    <row r="81" spans="1:7" ht="15.5" x14ac:dyDescent="0.35">
      <c r="A81" s="6">
        <v>44147</v>
      </c>
      <c r="B81" s="7" t="s">
        <v>23</v>
      </c>
      <c r="C81" s="7" t="s">
        <v>22</v>
      </c>
      <c r="D81" s="7" t="s">
        <v>9</v>
      </c>
      <c r="E81" s="7">
        <v>990</v>
      </c>
      <c r="F81" s="7">
        <v>43</v>
      </c>
      <c r="G81" s="8">
        <f t="shared" si="1"/>
        <v>42570</v>
      </c>
    </row>
    <row r="82" spans="1:7" ht="15.5" x14ac:dyDescent="0.35">
      <c r="A82" s="3">
        <v>44151</v>
      </c>
      <c r="B82" s="4" t="s">
        <v>19</v>
      </c>
      <c r="C82" s="4" t="s">
        <v>20</v>
      </c>
      <c r="D82" s="4" t="s">
        <v>9</v>
      </c>
      <c r="E82" s="4">
        <v>11999</v>
      </c>
      <c r="F82" s="4">
        <v>37</v>
      </c>
      <c r="G82" s="5">
        <f t="shared" si="1"/>
        <v>443963</v>
      </c>
    </row>
    <row r="83" spans="1:7" ht="15.5" x14ac:dyDescent="0.35">
      <c r="A83" s="6">
        <v>44155</v>
      </c>
      <c r="B83" s="7" t="s">
        <v>19</v>
      </c>
      <c r="C83" s="7" t="s">
        <v>13</v>
      </c>
      <c r="D83" s="7" t="s">
        <v>9</v>
      </c>
      <c r="E83" s="7">
        <v>960</v>
      </c>
      <c r="F83" s="7">
        <v>7</v>
      </c>
      <c r="G83" s="8">
        <f t="shared" si="1"/>
        <v>6720</v>
      </c>
    </row>
    <row r="84" spans="1:7" ht="15.5" x14ac:dyDescent="0.35">
      <c r="A84" s="3">
        <v>44159</v>
      </c>
      <c r="B84" s="4" t="s">
        <v>10</v>
      </c>
      <c r="C84" s="4" t="s">
        <v>8</v>
      </c>
      <c r="D84" s="4" t="s">
        <v>14</v>
      </c>
      <c r="E84" s="4">
        <v>1450</v>
      </c>
      <c r="F84" s="4">
        <v>19</v>
      </c>
      <c r="G84" s="5">
        <f t="shared" si="1"/>
        <v>27550</v>
      </c>
    </row>
    <row r="85" spans="1:7" ht="15.5" x14ac:dyDescent="0.35">
      <c r="A85" s="6">
        <v>44163</v>
      </c>
      <c r="B85" s="7" t="s">
        <v>12</v>
      </c>
      <c r="C85" s="7" t="s">
        <v>16</v>
      </c>
      <c r="D85" s="7" t="s">
        <v>11</v>
      </c>
      <c r="E85" s="7">
        <v>45000</v>
      </c>
      <c r="F85" s="7">
        <v>47</v>
      </c>
      <c r="G85" s="8">
        <f t="shared" si="1"/>
        <v>2115000</v>
      </c>
    </row>
    <row r="86" spans="1:7" ht="15.5" x14ac:dyDescent="0.35">
      <c r="A86" s="3">
        <v>44167</v>
      </c>
      <c r="B86" s="4" t="s">
        <v>10</v>
      </c>
      <c r="C86" s="4" t="s">
        <v>22</v>
      </c>
      <c r="D86" s="4" t="s">
        <v>11</v>
      </c>
      <c r="E86" s="4">
        <v>1499</v>
      </c>
      <c r="F86" s="4">
        <v>37</v>
      </c>
      <c r="G86" s="5">
        <f t="shared" si="1"/>
        <v>55463</v>
      </c>
    </row>
    <row r="87" spans="1:7" ht="15.5" x14ac:dyDescent="0.35">
      <c r="A87" s="6">
        <v>44171</v>
      </c>
      <c r="B87" s="7" t="s">
        <v>19</v>
      </c>
      <c r="C87" s="7" t="s">
        <v>20</v>
      </c>
      <c r="D87" s="7" t="s">
        <v>14</v>
      </c>
      <c r="E87" s="7">
        <v>79999</v>
      </c>
      <c r="F87" s="7">
        <v>4</v>
      </c>
      <c r="G87" s="8">
        <f t="shared" si="1"/>
        <v>319996</v>
      </c>
    </row>
    <row r="88" spans="1:7" ht="15.5" x14ac:dyDescent="0.35">
      <c r="A88" s="3">
        <v>44175</v>
      </c>
      <c r="B88" s="4" t="s">
        <v>15</v>
      </c>
      <c r="C88" s="4" t="s">
        <v>16</v>
      </c>
      <c r="D88" s="4" t="s">
        <v>21</v>
      </c>
      <c r="E88" s="4">
        <v>999</v>
      </c>
      <c r="F88" s="4">
        <v>45</v>
      </c>
      <c r="G88" s="5">
        <f t="shared" si="1"/>
        <v>44955</v>
      </c>
    </row>
    <row r="89" spans="1:7" ht="15.5" x14ac:dyDescent="0.35">
      <c r="A89" s="6">
        <v>44179</v>
      </c>
      <c r="B89" s="7" t="s">
        <v>10</v>
      </c>
      <c r="C89" s="7" t="s">
        <v>20</v>
      </c>
      <c r="D89" s="7" t="s">
        <v>9</v>
      </c>
      <c r="E89" s="7">
        <v>52000</v>
      </c>
      <c r="F89" s="7">
        <v>15</v>
      </c>
      <c r="G89" s="8">
        <f t="shared" si="1"/>
        <v>780000</v>
      </c>
    </row>
    <row r="90" spans="1:7" ht="15.5" x14ac:dyDescent="0.35">
      <c r="A90" s="3">
        <v>44183</v>
      </c>
      <c r="B90" s="4" t="s">
        <v>12</v>
      </c>
      <c r="C90" s="4" t="s">
        <v>16</v>
      </c>
      <c r="D90" s="4" t="s">
        <v>18</v>
      </c>
      <c r="E90" s="4">
        <v>52000</v>
      </c>
      <c r="F90" s="4">
        <v>39</v>
      </c>
      <c r="G90" s="5">
        <f t="shared" si="1"/>
        <v>2028000</v>
      </c>
    </row>
    <row r="91" spans="1:7" ht="15.5" x14ac:dyDescent="0.35">
      <c r="A91" s="6">
        <v>44187</v>
      </c>
      <c r="B91" s="7" t="s">
        <v>19</v>
      </c>
      <c r="C91" s="7" t="s">
        <v>13</v>
      </c>
      <c r="D91" s="7" t="s">
        <v>14</v>
      </c>
      <c r="E91" s="7">
        <v>960</v>
      </c>
      <c r="F91" s="7">
        <v>33</v>
      </c>
      <c r="G91" s="8">
        <f t="shared" si="1"/>
        <v>31680</v>
      </c>
    </row>
    <row r="92" spans="1:7" ht="15.5" x14ac:dyDescent="0.35">
      <c r="A92" s="3">
        <v>44191</v>
      </c>
      <c r="B92" s="4" t="s">
        <v>19</v>
      </c>
      <c r="C92" s="4" t="s">
        <v>16</v>
      </c>
      <c r="D92" s="4" t="s">
        <v>18</v>
      </c>
      <c r="E92" s="4">
        <v>19500</v>
      </c>
      <c r="F92" s="4">
        <v>45</v>
      </c>
      <c r="G92" s="5">
        <f t="shared" si="1"/>
        <v>877500</v>
      </c>
    </row>
    <row r="93" spans="1:7" ht="15.5" x14ac:dyDescent="0.35">
      <c r="A93" s="6">
        <v>44195</v>
      </c>
      <c r="B93" s="7" t="s">
        <v>19</v>
      </c>
      <c r="C93" s="7" t="s">
        <v>20</v>
      </c>
      <c r="D93" s="7" t="s">
        <v>18</v>
      </c>
      <c r="E93" s="7">
        <v>2999</v>
      </c>
      <c r="F93" s="7">
        <v>33</v>
      </c>
      <c r="G93" s="8">
        <f t="shared" si="1"/>
        <v>98967</v>
      </c>
    </row>
    <row r="94" spans="1:7" ht="15.5" x14ac:dyDescent="0.35">
      <c r="A94" s="3">
        <v>44199</v>
      </c>
      <c r="B94" s="4" t="s">
        <v>10</v>
      </c>
      <c r="C94" s="4" t="s">
        <v>13</v>
      </c>
      <c r="D94" s="4" t="s">
        <v>21</v>
      </c>
      <c r="E94" s="4">
        <v>1250</v>
      </c>
      <c r="F94" s="4">
        <v>14</v>
      </c>
      <c r="G94" s="5">
        <f t="shared" si="1"/>
        <v>17500</v>
      </c>
    </row>
    <row r="95" spans="1:7" ht="15.5" x14ac:dyDescent="0.35">
      <c r="A95" s="6">
        <v>44203</v>
      </c>
      <c r="B95" s="7" t="s">
        <v>10</v>
      </c>
      <c r="C95" s="7" t="s">
        <v>17</v>
      </c>
      <c r="D95" s="7" t="s">
        <v>9</v>
      </c>
      <c r="E95" s="7">
        <v>120</v>
      </c>
      <c r="F95" s="7">
        <v>41</v>
      </c>
      <c r="G95" s="8">
        <f t="shared" si="1"/>
        <v>4920</v>
      </c>
    </row>
    <row r="96" spans="1:7" ht="15.5" x14ac:dyDescent="0.35">
      <c r="A96" s="3">
        <v>44207</v>
      </c>
      <c r="B96" s="4" t="s">
        <v>12</v>
      </c>
      <c r="C96" s="4" t="s">
        <v>8</v>
      </c>
      <c r="D96" s="4" t="s">
        <v>18</v>
      </c>
      <c r="E96" s="4">
        <v>1450</v>
      </c>
      <c r="F96" s="4">
        <v>22</v>
      </c>
      <c r="G96" s="5">
        <f t="shared" si="1"/>
        <v>31900</v>
      </c>
    </row>
    <row r="97" spans="1:7" ht="15.5" x14ac:dyDescent="0.35">
      <c r="A97" s="6">
        <v>44211</v>
      </c>
      <c r="B97" s="7" t="s">
        <v>19</v>
      </c>
      <c r="C97" s="7" t="s">
        <v>20</v>
      </c>
      <c r="D97" s="7" t="s">
        <v>9</v>
      </c>
      <c r="E97" s="7">
        <v>89999</v>
      </c>
      <c r="F97" s="7">
        <v>15</v>
      </c>
      <c r="G97" s="8">
        <f t="shared" si="1"/>
        <v>1349985</v>
      </c>
    </row>
    <row r="98" spans="1:7" ht="15.5" x14ac:dyDescent="0.35">
      <c r="A98" s="3">
        <v>44215</v>
      </c>
      <c r="B98" s="4" t="s">
        <v>23</v>
      </c>
      <c r="C98" s="4" t="s">
        <v>16</v>
      </c>
      <c r="D98" s="4" t="s">
        <v>14</v>
      </c>
      <c r="E98" s="4">
        <v>1999</v>
      </c>
      <c r="F98" s="4">
        <v>48</v>
      </c>
      <c r="G98" s="5">
        <f t="shared" si="1"/>
        <v>95952</v>
      </c>
    </row>
    <row r="99" spans="1:7" ht="15.5" x14ac:dyDescent="0.35">
      <c r="A99" s="6">
        <v>44219</v>
      </c>
      <c r="B99" s="7" t="s">
        <v>23</v>
      </c>
      <c r="C99" s="7" t="s">
        <v>22</v>
      </c>
      <c r="D99" s="7" t="s">
        <v>18</v>
      </c>
      <c r="E99" s="7">
        <v>2900</v>
      </c>
      <c r="F99" s="7">
        <v>49</v>
      </c>
      <c r="G99" s="8">
        <f t="shared" si="1"/>
        <v>142100</v>
      </c>
    </row>
    <row r="100" spans="1:7" ht="15.5" x14ac:dyDescent="0.35">
      <c r="A100" s="3">
        <v>44223</v>
      </c>
      <c r="B100" s="4" t="s">
        <v>19</v>
      </c>
      <c r="C100" s="4" t="s">
        <v>20</v>
      </c>
      <c r="D100" s="4" t="s">
        <v>21</v>
      </c>
      <c r="E100" s="4">
        <v>700</v>
      </c>
      <c r="F100" s="4">
        <v>50</v>
      </c>
      <c r="G100" s="5">
        <f t="shared" si="1"/>
        <v>35000</v>
      </c>
    </row>
    <row r="101" spans="1:7" ht="15.5" x14ac:dyDescent="0.35">
      <c r="A101" s="6">
        <v>44227</v>
      </c>
      <c r="B101" s="7" t="s">
        <v>15</v>
      </c>
      <c r="C101" s="7" t="s">
        <v>17</v>
      </c>
      <c r="D101" s="7" t="s">
        <v>18</v>
      </c>
      <c r="E101" s="7">
        <v>200</v>
      </c>
      <c r="F101" s="7">
        <v>41</v>
      </c>
      <c r="G101" s="8">
        <f t="shared" si="1"/>
        <v>8200</v>
      </c>
    </row>
    <row r="102" spans="1:7" ht="15.5" x14ac:dyDescent="0.35">
      <c r="A102" s="3">
        <v>44231</v>
      </c>
      <c r="B102" s="4" t="s">
        <v>12</v>
      </c>
      <c r="C102" s="4" t="s">
        <v>16</v>
      </c>
      <c r="D102" s="4" t="s">
        <v>11</v>
      </c>
      <c r="E102" s="4">
        <v>49000</v>
      </c>
      <c r="F102" s="4">
        <v>29</v>
      </c>
      <c r="G102" s="5">
        <f t="shared" si="1"/>
        <v>1421000</v>
      </c>
    </row>
    <row r="103" spans="1:7" ht="15.5" x14ac:dyDescent="0.35">
      <c r="A103" s="6">
        <v>44235</v>
      </c>
      <c r="B103" s="7" t="s">
        <v>7</v>
      </c>
      <c r="C103" s="7" t="s">
        <v>8</v>
      </c>
      <c r="D103" s="7" t="s">
        <v>21</v>
      </c>
      <c r="E103" s="7">
        <v>5599</v>
      </c>
      <c r="F103" s="7">
        <v>36</v>
      </c>
      <c r="G103" s="8">
        <f t="shared" si="1"/>
        <v>201564</v>
      </c>
    </row>
    <row r="104" spans="1:7" ht="15.5" x14ac:dyDescent="0.35">
      <c r="A104" s="3">
        <v>44239</v>
      </c>
      <c r="B104" s="4" t="s">
        <v>15</v>
      </c>
      <c r="C104" s="4" t="s">
        <v>17</v>
      </c>
      <c r="D104" s="4" t="s">
        <v>18</v>
      </c>
      <c r="E104" s="4">
        <v>13500</v>
      </c>
      <c r="F104" s="4">
        <v>39</v>
      </c>
      <c r="G104" s="5">
        <f t="shared" si="1"/>
        <v>526500</v>
      </c>
    </row>
    <row r="105" spans="1:7" ht="15.5" x14ac:dyDescent="0.35">
      <c r="A105" s="6">
        <v>44243</v>
      </c>
      <c r="B105" s="7" t="s">
        <v>12</v>
      </c>
      <c r="C105" s="7" t="s">
        <v>20</v>
      </c>
      <c r="D105" s="7" t="s">
        <v>18</v>
      </c>
      <c r="E105" s="7">
        <v>79999</v>
      </c>
      <c r="F105" s="7">
        <v>9</v>
      </c>
      <c r="G105" s="8">
        <f t="shared" si="1"/>
        <v>719991</v>
      </c>
    </row>
    <row r="106" spans="1:7" ht="15.5" x14ac:dyDescent="0.35">
      <c r="A106" s="3">
        <v>44247</v>
      </c>
      <c r="B106" s="4" t="s">
        <v>19</v>
      </c>
      <c r="C106" s="4" t="s">
        <v>16</v>
      </c>
      <c r="D106" s="4" t="s">
        <v>14</v>
      </c>
      <c r="E106" s="4">
        <v>75200</v>
      </c>
      <c r="F106" s="4">
        <v>38</v>
      </c>
      <c r="G106" s="5">
        <f t="shared" si="1"/>
        <v>2857600</v>
      </c>
    </row>
    <row r="107" spans="1:7" ht="15.5" x14ac:dyDescent="0.35">
      <c r="A107" s="6">
        <v>44251</v>
      </c>
      <c r="B107" s="7" t="s">
        <v>19</v>
      </c>
      <c r="C107" s="7" t="s">
        <v>13</v>
      </c>
      <c r="D107" s="7" t="s">
        <v>9</v>
      </c>
      <c r="E107" s="7">
        <v>550</v>
      </c>
      <c r="F107" s="7">
        <v>25</v>
      </c>
      <c r="G107" s="8">
        <f t="shared" si="1"/>
        <v>13750</v>
      </c>
    </row>
    <row r="108" spans="1:7" ht="15.5" x14ac:dyDescent="0.35">
      <c r="A108" s="3">
        <v>44255</v>
      </c>
      <c r="B108" s="4" t="s">
        <v>7</v>
      </c>
      <c r="C108" s="4" t="s">
        <v>8</v>
      </c>
      <c r="D108" s="4" t="s">
        <v>9</v>
      </c>
      <c r="E108" s="4">
        <v>499</v>
      </c>
      <c r="F108" s="4">
        <v>50</v>
      </c>
      <c r="G108" s="5">
        <f t="shared" si="1"/>
        <v>24950</v>
      </c>
    </row>
    <row r="109" spans="1:7" ht="15.5" x14ac:dyDescent="0.35">
      <c r="A109" s="6">
        <v>44259</v>
      </c>
      <c r="B109" s="7" t="s">
        <v>7</v>
      </c>
      <c r="C109" s="7" t="s">
        <v>8</v>
      </c>
      <c r="D109" s="7" t="s">
        <v>11</v>
      </c>
      <c r="E109" s="7">
        <v>5599</v>
      </c>
      <c r="F109" s="7">
        <v>33</v>
      </c>
      <c r="G109" s="8">
        <f t="shared" si="1"/>
        <v>184767</v>
      </c>
    </row>
    <row r="110" spans="1:7" ht="15.5" x14ac:dyDescent="0.35">
      <c r="A110" s="3">
        <v>44263</v>
      </c>
      <c r="B110" s="4" t="s">
        <v>12</v>
      </c>
      <c r="C110" s="4" t="s">
        <v>13</v>
      </c>
      <c r="D110" s="4" t="s">
        <v>14</v>
      </c>
      <c r="E110" s="4">
        <v>1450</v>
      </c>
      <c r="F110" s="4">
        <v>44</v>
      </c>
      <c r="G110" s="5">
        <f t="shared" si="1"/>
        <v>63800</v>
      </c>
    </row>
    <row r="111" spans="1:7" ht="15.5" x14ac:dyDescent="0.35">
      <c r="A111" s="6">
        <v>44267</v>
      </c>
      <c r="B111" s="7" t="s">
        <v>15</v>
      </c>
      <c r="C111" s="7" t="s">
        <v>17</v>
      </c>
      <c r="D111" s="7" t="s">
        <v>9</v>
      </c>
      <c r="E111" s="7">
        <v>999</v>
      </c>
      <c r="F111" s="7">
        <v>31</v>
      </c>
      <c r="G111" s="8">
        <f t="shared" si="1"/>
        <v>30969</v>
      </c>
    </row>
    <row r="112" spans="1:7" ht="15.5" x14ac:dyDescent="0.35">
      <c r="A112" s="3">
        <v>44271</v>
      </c>
      <c r="B112" s="4" t="s">
        <v>15</v>
      </c>
      <c r="C112" s="4" t="s">
        <v>17</v>
      </c>
      <c r="D112" s="4" t="s">
        <v>18</v>
      </c>
      <c r="E112" s="4">
        <v>100</v>
      </c>
      <c r="F112" s="4">
        <v>11</v>
      </c>
      <c r="G112" s="5">
        <f t="shared" si="1"/>
        <v>1100</v>
      </c>
    </row>
    <row r="113" spans="1:7" ht="15.5" x14ac:dyDescent="0.35">
      <c r="A113" s="6">
        <v>44275</v>
      </c>
      <c r="B113" s="7" t="s">
        <v>12</v>
      </c>
      <c r="C113" s="7" t="s">
        <v>8</v>
      </c>
      <c r="D113" s="7" t="s">
        <v>18</v>
      </c>
      <c r="E113" s="7">
        <v>2550</v>
      </c>
      <c r="F113" s="7">
        <v>48</v>
      </c>
      <c r="G113" s="8">
        <f t="shared" si="1"/>
        <v>122400</v>
      </c>
    </row>
    <row r="114" spans="1:7" ht="15.5" x14ac:dyDescent="0.35">
      <c r="A114" s="3">
        <v>44279</v>
      </c>
      <c r="B114" s="4" t="s">
        <v>19</v>
      </c>
      <c r="C114" s="4" t="s">
        <v>20</v>
      </c>
      <c r="D114" s="4" t="s">
        <v>18</v>
      </c>
      <c r="E114" s="4">
        <v>33000</v>
      </c>
      <c r="F114" s="4">
        <v>26</v>
      </c>
      <c r="G114" s="5">
        <f t="shared" si="1"/>
        <v>858000</v>
      </c>
    </row>
    <row r="115" spans="1:7" ht="15.5" x14ac:dyDescent="0.35">
      <c r="A115" s="6">
        <v>44283</v>
      </c>
      <c r="B115" s="7" t="s">
        <v>10</v>
      </c>
      <c r="C115" s="7" t="s">
        <v>8</v>
      </c>
      <c r="D115" s="7" t="s">
        <v>14</v>
      </c>
      <c r="E115" s="7">
        <v>800</v>
      </c>
      <c r="F115" s="7">
        <v>39</v>
      </c>
      <c r="G115" s="8">
        <f t="shared" si="1"/>
        <v>31200</v>
      </c>
    </row>
    <row r="116" spans="1:7" ht="15.5" x14ac:dyDescent="0.35">
      <c r="A116" s="3">
        <v>44287</v>
      </c>
      <c r="B116" s="4" t="s">
        <v>23</v>
      </c>
      <c r="C116" s="4" t="s">
        <v>22</v>
      </c>
      <c r="D116" s="4" t="s">
        <v>14</v>
      </c>
      <c r="E116" s="4">
        <v>990</v>
      </c>
      <c r="F116" s="4">
        <v>9</v>
      </c>
      <c r="G116" s="5">
        <f t="shared" si="1"/>
        <v>8910</v>
      </c>
    </row>
    <row r="117" spans="1:7" ht="15.5" x14ac:dyDescent="0.35">
      <c r="A117" s="6">
        <v>44291</v>
      </c>
      <c r="B117" s="7" t="s">
        <v>7</v>
      </c>
      <c r="C117" s="7" t="s">
        <v>8</v>
      </c>
      <c r="D117" s="7" t="s">
        <v>9</v>
      </c>
      <c r="E117" s="7">
        <v>5599</v>
      </c>
      <c r="F117" s="7">
        <v>41</v>
      </c>
      <c r="G117" s="8">
        <f t="shared" si="1"/>
        <v>229559</v>
      </c>
    </row>
    <row r="118" spans="1:7" ht="15.5" x14ac:dyDescent="0.35">
      <c r="A118" s="3">
        <v>44295</v>
      </c>
      <c r="B118" s="4" t="s">
        <v>19</v>
      </c>
      <c r="C118" s="4" t="s">
        <v>20</v>
      </c>
      <c r="D118" s="4" t="s">
        <v>9</v>
      </c>
      <c r="E118" s="4">
        <v>499</v>
      </c>
      <c r="F118" s="4">
        <v>39</v>
      </c>
      <c r="G118" s="5">
        <f t="shared" si="1"/>
        <v>19461</v>
      </c>
    </row>
    <row r="119" spans="1:7" ht="15.5" x14ac:dyDescent="0.35">
      <c r="A119" s="6">
        <v>44299</v>
      </c>
      <c r="B119" s="7" t="s">
        <v>23</v>
      </c>
      <c r="C119" s="7" t="s">
        <v>22</v>
      </c>
      <c r="D119" s="7" t="s">
        <v>9</v>
      </c>
      <c r="E119" s="7">
        <v>1999</v>
      </c>
      <c r="F119" s="7">
        <v>4</v>
      </c>
      <c r="G119" s="8">
        <f t="shared" si="1"/>
        <v>7996</v>
      </c>
    </row>
    <row r="120" spans="1:7" ht="15.5" x14ac:dyDescent="0.35">
      <c r="A120" s="3">
        <v>44303</v>
      </c>
      <c r="B120" s="4" t="s">
        <v>12</v>
      </c>
      <c r="C120" s="4" t="s">
        <v>17</v>
      </c>
      <c r="D120" s="4" t="s">
        <v>9</v>
      </c>
      <c r="E120" s="4">
        <v>200</v>
      </c>
      <c r="F120" s="4">
        <v>8</v>
      </c>
      <c r="G120" s="5">
        <f t="shared" si="1"/>
        <v>1600</v>
      </c>
    </row>
    <row r="121" spans="1:7" ht="15.5" x14ac:dyDescent="0.35">
      <c r="A121" s="6">
        <v>44307</v>
      </c>
      <c r="B121" s="7" t="s">
        <v>23</v>
      </c>
      <c r="C121" s="7" t="s">
        <v>22</v>
      </c>
      <c r="D121" s="7" t="s">
        <v>14</v>
      </c>
      <c r="E121" s="7">
        <v>1499</v>
      </c>
      <c r="F121" s="7">
        <v>27</v>
      </c>
      <c r="G121" s="8">
        <f t="shared" si="1"/>
        <v>40473</v>
      </c>
    </row>
    <row r="122" spans="1:7" ht="15.5" x14ac:dyDescent="0.35">
      <c r="A122" s="3">
        <v>44311</v>
      </c>
      <c r="B122" s="4" t="s">
        <v>15</v>
      </c>
      <c r="C122" s="4" t="s">
        <v>17</v>
      </c>
      <c r="D122" s="4" t="s">
        <v>21</v>
      </c>
      <c r="E122" s="4">
        <v>120</v>
      </c>
      <c r="F122" s="4">
        <v>10</v>
      </c>
      <c r="G122" s="5">
        <f t="shared" si="1"/>
        <v>1200</v>
      </c>
    </row>
    <row r="123" spans="1:7" ht="15.5" x14ac:dyDescent="0.35">
      <c r="A123" s="6">
        <v>44315</v>
      </c>
      <c r="B123" s="7" t="s">
        <v>10</v>
      </c>
      <c r="C123" s="7" t="s">
        <v>20</v>
      </c>
      <c r="D123" s="7" t="s">
        <v>21</v>
      </c>
      <c r="E123" s="7">
        <v>11999</v>
      </c>
      <c r="F123" s="7">
        <v>17</v>
      </c>
      <c r="G123" s="8">
        <f t="shared" si="1"/>
        <v>203983</v>
      </c>
    </row>
    <row r="124" spans="1:7" ht="15.5" x14ac:dyDescent="0.35">
      <c r="A124" s="3">
        <v>44319</v>
      </c>
      <c r="B124" s="4" t="s">
        <v>10</v>
      </c>
      <c r="C124" s="4" t="s">
        <v>20</v>
      </c>
      <c r="D124" s="4" t="s">
        <v>11</v>
      </c>
      <c r="E124" s="4">
        <v>999</v>
      </c>
      <c r="F124" s="4">
        <v>27</v>
      </c>
      <c r="G124" s="5">
        <f t="shared" si="1"/>
        <v>26973</v>
      </c>
    </row>
    <row r="125" spans="1:7" ht="15.5" x14ac:dyDescent="0.35">
      <c r="A125" s="6">
        <v>44323</v>
      </c>
      <c r="B125" s="7" t="s">
        <v>12</v>
      </c>
      <c r="C125" s="7" t="s">
        <v>20</v>
      </c>
      <c r="D125" s="7" t="s">
        <v>14</v>
      </c>
      <c r="E125" s="7">
        <v>2999</v>
      </c>
      <c r="F125" s="7">
        <v>43</v>
      </c>
      <c r="G125" s="8">
        <f t="shared" si="1"/>
        <v>128957</v>
      </c>
    </row>
    <row r="126" spans="1:7" ht="15.5" x14ac:dyDescent="0.35">
      <c r="A126" s="3">
        <v>44327</v>
      </c>
      <c r="B126" s="4" t="s">
        <v>15</v>
      </c>
      <c r="C126" s="4" t="s">
        <v>16</v>
      </c>
      <c r="D126" s="4" t="s">
        <v>11</v>
      </c>
      <c r="E126" s="4">
        <v>47800</v>
      </c>
      <c r="F126" s="4">
        <v>9</v>
      </c>
      <c r="G126" s="5">
        <f t="shared" si="1"/>
        <v>430200</v>
      </c>
    </row>
    <row r="127" spans="1:7" ht="15.5" x14ac:dyDescent="0.35">
      <c r="A127" s="6">
        <v>44331</v>
      </c>
      <c r="B127" s="7" t="s">
        <v>19</v>
      </c>
      <c r="C127" s="7" t="s">
        <v>16</v>
      </c>
      <c r="D127" s="7" t="s">
        <v>9</v>
      </c>
      <c r="E127" s="7">
        <v>22000</v>
      </c>
      <c r="F127" s="7">
        <v>42</v>
      </c>
      <c r="G127" s="8">
        <f t="shared" si="1"/>
        <v>924000</v>
      </c>
    </row>
    <row r="128" spans="1:7" ht="15.5" x14ac:dyDescent="0.35">
      <c r="A128" s="3">
        <v>44335</v>
      </c>
      <c r="B128" s="4" t="s">
        <v>19</v>
      </c>
      <c r="C128" s="4" t="s">
        <v>13</v>
      </c>
      <c r="D128" s="4" t="s">
        <v>11</v>
      </c>
      <c r="E128" s="4">
        <v>1250</v>
      </c>
      <c r="F128" s="4">
        <v>6</v>
      </c>
      <c r="G128" s="5">
        <f t="shared" si="1"/>
        <v>7500</v>
      </c>
    </row>
    <row r="129" spans="1:7" ht="15.5" x14ac:dyDescent="0.35">
      <c r="A129" s="6">
        <v>44339</v>
      </c>
      <c r="B129" s="7" t="s">
        <v>15</v>
      </c>
      <c r="C129" s="7" t="s">
        <v>17</v>
      </c>
      <c r="D129" s="7" t="s">
        <v>14</v>
      </c>
      <c r="E129" s="7">
        <v>999</v>
      </c>
      <c r="F129" s="7">
        <v>28</v>
      </c>
      <c r="G129" s="8">
        <f t="shared" si="1"/>
        <v>27972</v>
      </c>
    </row>
    <row r="130" spans="1:7" ht="15.5" x14ac:dyDescent="0.35">
      <c r="A130" s="3">
        <v>44343</v>
      </c>
      <c r="B130" s="4" t="s">
        <v>19</v>
      </c>
      <c r="C130" s="4" t="s">
        <v>13</v>
      </c>
      <c r="D130" s="4" t="s">
        <v>21</v>
      </c>
      <c r="E130" s="4">
        <v>1450</v>
      </c>
      <c r="F130" s="4">
        <v>13</v>
      </c>
      <c r="G130" s="5">
        <f t="shared" si="1"/>
        <v>18850</v>
      </c>
    </row>
    <row r="131" spans="1:7" ht="15.5" x14ac:dyDescent="0.35">
      <c r="A131" s="6">
        <v>44347</v>
      </c>
      <c r="B131" s="7" t="s">
        <v>19</v>
      </c>
      <c r="C131" s="7" t="s">
        <v>13</v>
      </c>
      <c r="D131" s="7" t="s">
        <v>21</v>
      </c>
      <c r="E131" s="7">
        <v>23999</v>
      </c>
      <c r="F131" s="7">
        <v>8</v>
      </c>
      <c r="G131" s="8">
        <f t="shared" ref="G131:G194" si="2">E131*F131</f>
        <v>191992</v>
      </c>
    </row>
    <row r="132" spans="1:7" ht="15.5" x14ac:dyDescent="0.35">
      <c r="A132" s="3">
        <v>44351</v>
      </c>
      <c r="B132" s="4" t="s">
        <v>10</v>
      </c>
      <c r="C132" s="4" t="s">
        <v>16</v>
      </c>
      <c r="D132" s="4" t="s">
        <v>21</v>
      </c>
      <c r="E132" s="4">
        <v>92000</v>
      </c>
      <c r="F132" s="4">
        <v>7</v>
      </c>
      <c r="G132" s="5">
        <f t="shared" si="2"/>
        <v>644000</v>
      </c>
    </row>
    <row r="133" spans="1:7" ht="15.5" x14ac:dyDescent="0.35">
      <c r="A133" s="6">
        <v>44355</v>
      </c>
      <c r="B133" s="7" t="s">
        <v>23</v>
      </c>
      <c r="C133" s="7" t="s">
        <v>22</v>
      </c>
      <c r="D133" s="7" t="s">
        <v>14</v>
      </c>
      <c r="E133" s="7">
        <v>699</v>
      </c>
      <c r="F133" s="7">
        <v>45</v>
      </c>
      <c r="G133" s="8">
        <f t="shared" si="2"/>
        <v>31455</v>
      </c>
    </row>
    <row r="134" spans="1:7" ht="15.5" x14ac:dyDescent="0.35">
      <c r="A134" s="3">
        <v>44359</v>
      </c>
      <c r="B134" s="4" t="s">
        <v>7</v>
      </c>
      <c r="C134" s="4" t="s">
        <v>8</v>
      </c>
      <c r="D134" s="4" t="s">
        <v>9</v>
      </c>
      <c r="E134" s="4">
        <v>2550</v>
      </c>
      <c r="F134" s="4">
        <v>22</v>
      </c>
      <c r="G134" s="5">
        <f t="shared" si="2"/>
        <v>56100</v>
      </c>
    </row>
    <row r="135" spans="1:7" ht="15.5" x14ac:dyDescent="0.35">
      <c r="A135" s="6">
        <v>44363</v>
      </c>
      <c r="B135" s="7" t="s">
        <v>12</v>
      </c>
      <c r="C135" s="7" t="s">
        <v>20</v>
      </c>
      <c r="D135" s="7" t="s">
        <v>21</v>
      </c>
      <c r="E135" s="7">
        <v>22000</v>
      </c>
      <c r="F135" s="7">
        <v>4</v>
      </c>
      <c r="G135" s="8">
        <f t="shared" si="2"/>
        <v>88000</v>
      </c>
    </row>
    <row r="136" spans="1:7" ht="15.5" x14ac:dyDescent="0.35">
      <c r="A136" s="3">
        <v>44367</v>
      </c>
      <c r="B136" s="4" t="s">
        <v>19</v>
      </c>
      <c r="C136" s="4" t="s">
        <v>20</v>
      </c>
      <c r="D136" s="4" t="s">
        <v>9</v>
      </c>
      <c r="E136" s="4">
        <v>22000</v>
      </c>
      <c r="F136" s="4">
        <v>10</v>
      </c>
      <c r="G136" s="5">
        <f t="shared" si="2"/>
        <v>220000</v>
      </c>
    </row>
    <row r="137" spans="1:7" ht="15.5" x14ac:dyDescent="0.35">
      <c r="A137" s="6">
        <v>44371</v>
      </c>
      <c r="B137" s="7" t="s">
        <v>10</v>
      </c>
      <c r="C137" s="7" t="s">
        <v>22</v>
      </c>
      <c r="D137" s="7" t="s">
        <v>14</v>
      </c>
      <c r="E137" s="7">
        <v>1499</v>
      </c>
      <c r="F137" s="7">
        <v>16</v>
      </c>
      <c r="G137" s="8">
        <f t="shared" si="2"/>
        <v>23984</v>
      </c>
    </row>
    <row r="138" spans="1:7" ht="15.5" x14ac:dyDescent="0.35">
      <c r="A138" s="3">
        <v>44375</v>
      </c>
      <c r="B138" s="4" t="s">
        <v>15</v>
      </c>
      <c r="C138" s="4" t="s">
        <v>17</v>
      </c>
      <c r="D138" s="4" t="s">
        <v>21</v>
      </c>
      <c r="E138" s="4">
        <v>120</v>
      </c>
      <c r="F138" s="4">
        <v>22</v>
      </c>
      <c r="G138" s="5">
        <f t="shared" si="2"/>
        <v>2640</v>
      </c>
    </row>
    <row r="139" spans="1:7" ht="15.5" x14ac:dyDescent="0.35">
      <c r="A139" s="6">
        <v>44379</v>
      </c>
      <c r="B139" s="7" t="s">
        <v>7</v>
      </c>
      <c r="C139" s="7" t="s">
        <v>8</v>
      </c>
      <c r="D139" s="7" t="s">
        <v>11</v>
      </c>
      <c r="E139" s="7">
        <v>1450</v>
      </c>
      <c r="F139" s="7">
        <v>20</v>
      </c>
      <c r="G139" s="8">
        <f t="shared" si="2"/>
        <v>29000</v>
      </c>
    </row>
    <row r="140" spans="1:7" ht="15.5" x14ac:dyDescent="0.35">
      <c r="A140" s="3">
        <v>44383</v>
      </c>
      <c r="B140" s="4" t="s">
        <v>23</v>
      </c>
      <c r="C140" s="4" t="s">
        <v>22</v>
      </c>
      <c r="D140" s="4" t="s">
        <v>14</v>
      </c>
      <c r="E140" s="4">
        <v>1999</v>
      </c>
      <c r="F140" s="4">
        <v>23</v>
      </c>
      <c r="G140" s="5">
        <f t="shared" si="2"/>
        <v>45977</v>
      </c>
    </row>
    <row r="141" spans="1:7" ht="15.5" x14ac:dyDescent="0.35">
      <c r="A141" s="6">
        <v>44387</v>
      </c>
      <c r="B141" s="7" t="s">
        <v>10</v>
      </c>
      <c r="C141" s="7" t="s">
        <v>8</v>
      </c>
      <c r="D141" s="7" t="s">
        <v>24</v>
      </c>
      <c r="E141" s="7">
        <v>800</v>
      </c>
      <c r="F141" s="7">
        <v>43</v>
      </c>
      <c r="G141" s="8">
        <f t="shared" si="2"/>
        <v>34400</v>
      </c>
    </row>
    <row r="142" spans="1:7" ht="15.5" x14ac:dyDescent="0.35">
      <c r="A142" s="3">
        <v>44391</v>
      </c>
      <c r="B142" s="4" t="s">
        <v>15</v>
      </c>
      <c r="C142" s="4" t="s">
        <v>17</v>
      </c>
      <c r="D142" s="4" t="s">
        <v>21</v>
      </c>
      <c r="E142" s="4">
        <v>100</v>
      </c>
      <c r="F142" s="4">
        <v>41</v>
      </c>
      <c r="G142" s="5">
        <f t="shared" si="2"/>
        <v>4100</v>
      </c>
    </row>
    <row r="143" spans="1:7" ht="15.5" x14ac:dyDescent="0.35">
      <c r="A143" s="6">
        <v>44395</v>
      </c>
      <c r="B143" s="7" t="s">
        <v>7</v>
      </c>
      <c r="C143" s="7" t="s">
        <v>16</v>
      </c>
      <c r="D143" s="7" t="s">
        <v>21</v>
      </c>
      <c r="E143" s="7">
        <v>13999</v>
      </c>
      <c r="F143" s="7">
        <v>37</v>
      </c>
      <c r="G143" s="8">
        <f t="shared" si="2"/>
        <v>517963</v>
      </c>
    </row>
    <row r="144" spans="1:7" ht="15.5" x14ac:dyDescent="0.35">
      <c r="A144" s="3">
        <v>44399</v>
      </c>
      <c r="B144" s="4" t="s">
        <v>12</v>
      </c>
      <c r="C144" s="4" t="s">
        <v>20</v>
      </c>
      <c r="D144" s="4" t="s">
        <v>18</v>
      </c>
      <c r="E144" s="4">
        <v>22000</v>
      </c>
      <c r="F144" s="4">
        <v>45</v>
      </c>
      <c r="G144" s="5">
        <f t="shared" si="2"/>
        <v>990000</v>
      </c>
    </row>
    <row r="145" spans="1:7" ht="15.5" x14ac:dyDescent="0.35">
      <c r="A145" s="6">
        <v>44403</v>
      </c>
      <c r="B145" s="7" t="s">
        <v>19</v>
      </c>
      <c r="C145" s="7" t="s">
        <v>20</v>
      </c>
      <c r="D145" s="7" t="s">
        <v>24</v>
      </c>
      <c r="E145" s="7">
        <v>89999</v>
      </c>
      <c r="F145" s="7">
        <v>15</v>
      </c>
      <c r="G145" s="8">
        <f t="shared" si="2"/>
        <v>1349985</v>
      </c>
    </row>
    <row r="146" spans="1:7" ht="15.5" x14ac:dyDescent="0.35">
      <c r="A146" s="3">
        <v>44407</v>
      </c>
      <c r="B146" s="4" t="s">
        <v>7</v>
      </c>
      <c r="C146" s="4" t="s">
        <v>8</v>
      </c>
      <c r="D146" s="4" t="s">
        <v>18</v>
      </c>
      <c r="E146" s="4">
        <v>13999</v>
      </c>
      <c r="F146" s="4">
        <v>22</v>
      </c>
      <c r="G146" s="5">
        <f t="shared" si="2"/>
        <v>307978</v>
      </c>
    </row>
    <row r="147" spans="1:7" ht="15.5" x14ac:dyDescent="0.35">
      <c r="A147" s="6">
        <v>44411</v>
      </c>
      <c r="B147" s="7" t="s">
        <v>10</v>
      </c>
      <c r="C147" s="7" t="s">
        <v>22</v>
      </c>
      <c r="D147" s="7" t="s">
        <v>14</v>
      </c>
      <c r="E147" s="7">
        <v>2900</v>
      </c>
      <c r="F147" s="7">
        <v>20</v>
      </c>
      <c r="G147" s="8">
        <f t="shared" si="2"/>
        <v>58000</v>
      </c>
    </row>
    <row r="148" spans="1:7" ht="15.5" x14ac:dyDescent="0.35">
      <c r="A148" s="3">
        <v>44415</v>
      </c>
      <c r="B148" s="4" t="s">
        <v>19</v>
      </c>
      <c r="C148" s="4" t="s">
        <v>20</v>
      </c>
      <c r="D148" s="4" t="s">
        <v>18</v>
      </c>
      <c r="E148" s="4">
        <v>33000</v>
      </c>
      <c r="F148" s="4">
        <v>16</v>
      </c>
      <c r="G148" s="5">
        <f t="shared" si="2"/>
        <v>528000</v>
      </c>
    </row>
    <row r="149" spans="1:7" ht="15.5" x14ac:dyDescent="0.35">
      <c r="A149" s="6">
        <v>44419</v>
      </c>
      <c r="B149" s="7" t="s">
        <v>10</v>
      </c>
      <c r="C149" s="7" t="s">
        <v>20</v>
      </c>
      <c r="D149" s="7" t="s">
        <v>11</v>
      </c>
      <c r="E149" s="7">
        <v>22000</v>
      </c>
      <c r="F149" s="7">
        <v>17</v>
      </c>
      <c r="G149" s="8">
        <f t="shared" si="2"/>
        <v>374000</v>
      </c>
    </row>
    <row r="150" spans="1:7" ht="15.5" x14ac:dyDescent="0.35">
      <c r="A150" s="3">
        <v>44423</v>
      </c>
      <c r="B150" s="4" t="s">
        <v>10</v>
      </c>
      <c r="C150" s="4" t="s">
        <v>22</v>
      </c>
      <c r="D150" s="4" t="s">
        <v>11</v>
      </c>
      <c r="E150" s="4">
        <v>45000</v>
      </c>
      <c r="F150" s="4">
        <v>50</v>
      </c>
      <c r="G150" s="5">
        <f t="shared" si="2"/>
        <v>2250000</v>
      </c>
    </row>
    <row r="151" spans="1:7" ht="15.5" x14ac:dyDescent="0.35">
      <c r="A151" s="6">
        <v>44427</v>
      </c>
      <c r="B151" s="7" t="s">
        <v>19</v>
      </c>
      <c r="C151" s="7" t="s">
        <v>16</v>
      </c>
      <c r="D151" s="7" t="s">
        <v>14</v>
      </c>
      <c r="E151" s="7">
        <v>499</v>
      </c>
      <c r="F151" s="7">
        <v>4</v>
      </c>
      <c r="G151" s="8">
        <f t="shared" si="2"/>
        <v>1996</v>
      </c>
    </row>
    <row r="152" spans="1:7" ht="15.5" x14ac:dyDescent="0.35">
      <c r="A152" s="3">
        <v>44431</v>
      </c>
      <c r="B152" s="4" t="s">
        <v>23</v>
      </c>
      <c r="C152" s="4" t="s">
        <v>22</v>
      </c>
      <c r="D152" s="4" t="s">
        <v>18</v>
      </c>
      <c r="E152" s="4">
        <v>590</v>
      </c>
      <c r="F152" s="4">
        <v>43</v>
      </c>
      <c r="G152" s="5">
        <f t="shared" si="2"/>
        <v>25370</v>
      </c>
    </row>
    <row r="153" spans="1:7" ht="15.5" x14ac:dyDescent="0.35">
      <c r="A153" s="6">
        <v>44435</v>
      </c>
      <c r="B153" s="7" t="s">
        <v>12</v>
      </c>
      <c r="C153" s="7" t="s">
        <v>22</v>
      </c>
      <c r="D153" s="7" t="s">
        <v>11</v>
      </c>
      <c r="E153" s="7">
        <v>590</v>
      </c>
      <c r="F153" s="7">
        <v>42</v>
      </c>
      <c r="G153" s="8">
        <f t="shared" si="2"/>
        <v>24780</v>
      </c>
    </row>
    <row r="154" spans="1:7" ht="15.5" x14ac:dyDescent="0.35">
      <c r="A154" s="3">
        <v>44439</v>
      </c>
      <c r="B154" s="4" t="s">
        <v>15</v>
      </c>
      <c r="C154" s="4" t="s">
        <v>17</v>
      </c>
      <c r="D154" s="4" t="s">
        <v>9</v>
      </c>
      <c r="E154" s="4">
        <v>12000</v>
      </c>
      <c r="F154" s="4">
        <v>9</v>
      </c>
      <c r="G154" s="5">
        <f t="shared" si="2"/>
        <v>108000</v>
      </c>
    </row>
    <row r="155" spans="1:7" ht="15.5" x14ac:dyDescent="0.35">
      <c r="A155" s="6">
        <v>44443</v>
      </c>
      <c r="B155" s="7" t="s">
        <v>19</v>
      </c>
      <c r="C155" s="7" t="s">
        <v>20</v>
      </c>
      <c r="D155" s="7" t="s">
        <v>24</v>
      </c>
      <c r="E155" s="7">
        <v>52000</v>
      </c>
      <c r="F155" s="7">
        <v>40</v>
      </c>
      <c r="G155" s="8">
        <f t="shared" si="2"/>
        <v>2080000</v>
      </c>
    </row>
    <row r="156" spans="1:7" ht="15.5" x14ac:dyDescent="0.35">
      <c r="A156" s="3">
        <v>44447</v>
      </c>
      <c r="B156" s="4" t="s">
        <v>19</v>
      </c>
      <c r="C156" s="4" t="s">
        <v>13</v>
      </c>
      <c r="D156" s="4" t="s">
        <v>18</v>
      </c>
      <c r="E156" s="4">
        <v>7999</v>
      </c>
      <c r="F156" s="4">
        <v>14</v>
      </c>
      <c r="G156" s="5">
        <f t="shared" si="2"/>
        <v>111986</v>
      </c>
    </row>
    <row r="157" spans="1:7" ht="15.5" x14ac:dyDescent="0.35">
      <c r="A157" s="6">
        <v>44451</v>
      </c>
      <c r="B157" s="7" t="s">
        <v>10</v>
      </c>
      <c r="C157" s="7" t="s">
        <v>13</v>
      </c>
      <c r="D157" s="7" t="s">
        <v>21</v>
      </c>
      <c r="E157" s="7">
        <v>5000</v>
      </c>
      <c r="F157" s="7">
        <v>9</v>
      </c>
      <c r="G157" s="8">
        <f t="shared" si="2"/>
        <v>45000</v>
      </c>
    </row>
    <row r="158" spans="1:7" ht="15.5" x14ac:dyDescent="0.35">
      <c r="A158" s="3">
        <v>44455</v>
      </c>
      <c r="B158" s="4" t="s">
        <v>19</v>
      </c>
      <c r="C158" s="4" t="s">
        <v>20</v>
      </c>
      <c r="D158" s="4" t="s">
        <v>18</v>
      </c>
      <c r="E158" s="4">
        <v>79999</v>
      </c>
      <c r="F158" s="4">
        <v>10</v>
      </c>
      <c r="G158" s="5">
        <f t="shared" si="2"/>
        <v>799990</v>
      </c>
    </row>
    <row r="159" spans="1:7" ht="15.5" x14ac:dyDescent="0.35">
      <c r="A159" s="6">
        <v>44459</v>
      </c>
      <c r="B159" s="7" t="s">
        <v>23</v>
      </c>
      <c r="C159" s="7" t="s">
        <v>16</v>
      </c>
      <c r="D159" s="7" t="s">
        <v>14</v>
      </c>
      <c r="E159" s="7">
        <v>1999</v>
      </c>
      <c r="F159" s="7">
        <v>37</v>
      </c>
      <c r="G159" s="8">
        <f t="shared" si="2"/>
        <v>73963</v>
      </c>
    </row>
    <row r="160" spans="1:7" ht="15.5" x14ac:dyDescent="0.35">
      <c r="A160" s="3">
        <v>44463</v>
      </c>
      <c r="B160" s="4" t="s">
        <v>19</v>
      </c>
      <c r="C160" s="4" t="s">
        <v>20</v>
      </c>
      <c r="D160" s="4" t="s">
        <v>18</v>
      </c>
      <c r="E160" s="4">
        <v>89999</v>
      </c>
      <c r="F160" s="4">
        <v>29</v>
      </c>
      <c r="G160" s="5">
        <f t="shared" si="2"/>
        <v>2609971</v>
      </c>
    </row>
    <row r="161" spans="1:7" ht="15.5" x14ac:dyDescent="0.35">
      <c r="A161" s="6">
        <v>44467</v>
      </c>
      <c r="B161" s="7" t="s">
        <v>12</v>
      </c>
      <c r="C161" s="7" t="s">
        <v>20</v>
      </c>
      <c r="D161" s="7" t="s">
        <v>9</v>
      </c>
      <c r="E161" s="7">
        <v>799</v>
      </c>
      <c r="F161" s="7">
        <v>44</v>
      </c>
      <c r="G161" s="8">
        <f t="shared" si="2"/>
        <v>35156</v>
      </c>
    </row>
    <row r="162" spans="1:7" ht="15.5" x14ac:dyDescent="0.35">
      <c r="A162" s="3">
        <v>44471</v>
      </c>
      <c r="B162" s="4" t="s">
        <v>19</v>
      </c>
      <c r="C162" s="4" t="s">
        <v>20</v>
      </c>
      <c r="D162" s="4" t="s">
        <v>11</v>
      </c>
      <c r="E162" s="4">
        <v>3990</v>
      </c>
      <c r="F162" s="4">
        <v>31</v>
      </c>
      <c r="G162" s="5">
        <f t="shared" si="2"/>
        <v>123690</v>
      </c>
    </row>
    <row r="163" spans="1:7" ht="15.5" x14ac:dyDescent="0.35">
      <c r="A163" s="6">
        <v>44475</v>
      </c>
      <c r="B163" s="7" t="s">
        <v>10</v>
      </c>
      <c r="C163" s="7" t="s">
        <v>20</v>
      </c>
      <c r="D163" s="7" t="s">
        <v>14</v>
      </c>
      <c r="E163" s="7">
        <v>52000</v>
      </c>
      <c r="F163" s="7">
        <v>29</v>
      </c>
      <c r="G163" s="8">
        <f t="shared" si="2"/>
        <v>1508000</v>
      </c>
    </row>
    <row r="164" spans="1:7" ht="15.5" x14ac:dyDescent="0.35">
      <c r="A164" s="3">
        <v>44479</v>
      </c>
      <c r="B164" s="4" t="s">
        <v>10</v>
      </c>
      <c r="C164" s="4" t="s">
        <v>8</v>
      </c>
      <c r="D164" s="4" t="s">
        <v>18</v>
      </c>
      <c r="E164" s="4">
        <v>13999</v>
      </c>
      <c r="F164" s="4">
        <v>34</v>
      </c>
      <c r="G164" s="5">
        <f t="shared" si="2"/>
        <v>475966</v>
      </c>
    </row>
    <row r="165" spans="1:7" ht="15.5" x14ac:dyDescent="0.35">
      <c r="A165" s="6">
        <v>44483</v>
      </c>
      <c r="B165" s="7" t="s">
        <v>15</v>
      </c>
      <c r="C165" s="7" t="s">
        <v>17</v>
      </c>
      <c r="D165" s="7" t="s">
        <v>14</v>
      </c>
      <c r="E165" s="7">
        <v>14500</v>
      </c>
      <c r="F165" s="7">
        <v>29</v>
      </c>
      <c r="G165" s="8">
        <f t="shared" si="2"/>
        <v>420500</v>
      </c>
    </row>
    <row r="166" spans="1:7" ht="15.5" x14ac:dyDescent="0.35">
      <c r="A166" s="3">
        <v>44487</v>
      </c>
      <c r="B166" s="4" t="s">
        <v>19</v>
      </c>
      <c r="C166" s="4" t="s">
        <v>13</v>
      </c>
      <c r="D166" s="4" t="s">
        <v>24</v>
      </c>
      <c r="E166" s="4">
        <v>23999</v>
      </c>
      <c r="F166" s="4">
        <v>25</v>
      </c>
      <c r="G166" s="5">
        <f t="shared" si="2"/>
        <v>599975</v>
      </c>
    </row>
    <row r="167" spans="1:7" ht="15.5" x14ac:dyDescent="0.35">
      <c r="A167" s="6">
        <v>44491</v>
      </c>
      <c r="B167" s="7" t="s">
        <v>19</v>
      </c>
      <c r="C167" s="7" t="s">
        <v>13</v>
      </c>
      <c r="D167" s="7" t="s">
        <v>18</v>
      </c>
      <c r="E167" s="7">
        <v>1250</v>
      </c>
      <c r="F167" s="7">
        <v>31</v>
      </c>
      <c r="G167" s="8">
        <f t="shared" si="2"/>
        <v>38750</v>
      </c>
    </row>
    <row r="168" spans="1:7" ht="15.5" x14ac:dyDescent="0.35">
      <c r="A168" s="3">
        <v>44495</v>
      </c>
      <c r="B168" s="4" t="s">
        <v>23</v>
      </c>
      <c r="C168" s="4" t="s">
        <v>16</v>
      </c>
      <c r="D168" s="4" t="s">
        <v>18</v>
      </c>
      <c r="E168" s="4">
        <v>35600</v>
      </c>
      <c r="F168" s="4">
        <v>16</v>
      </c>
      <c r="G168" s="5">
        <f t="shared" si="2"/>
        <v>569600</v>
      </c>
    </row>
    <row r="169" spans="1:7" ht="15.5" x14ac:dyDescent="0.35">
      <c r="A169" s="6">
        <v>44499</v>
      </c>
      <c r="B169" s="7" t="s">
        <v>15</v>
      </c>
      <c r="C169" s="7" t="s">
        <v>17</v>
      </c>
      <c r="D169" s="7" t="s">
        <v>18</v>
      </c>
      <c r="E169" s="7">
        <v>65000</v>
      </c>
      <c r="F169" s="7">
        <v>48</v>
      </c>
      <c r="G169" s="8">
        <f t="shared" si="2"/>
        <v>3120000</v>
      </c>
    </row>
    <row r="170" spans="1:7" ht="15.5" x14ac:dyDescent="0.35">
      <c r="A170" s="3">
        <v>44503</v>
      </c>
      <c r="B170" s="4" t="s">
        <v>12</v>
      </c>
      <c r="C170" s="4" t="s">
        <v>17</v>
      </c>
      <c r="D170" s="4" t="s">
        <v>24</v>
      </c>
      <c r="E170" s="4">
        <v>12000</v>
      </c>
      <c r="F170" s="4">
        <v>22</v>
      </c>
      <c r="G170" s="5">
        <f t="shared" si="2"/>
        <v>264000</v>
      </c>
    </row>
    <row r="171" spans="1:7" ht="15.5" x14ac:dyDescent="0.35">
      <c r="A171" s="6">
        <v>44507</v>
      </c>
      <c r="B171" s="7" t="s">
        <v>23</v>
      </c>
      <c r="C171" s="7" t="s">
        <v>22</v>
      </c>
      <c r="D171" s="7" t="s">
        <v>18</v>
      </c>
      <c r="E171" s="7">
        <v>699</v>
      </c>
      <c r="F171" s="7">
        <v>6</v>
      </c>
      <c r="G171" s="8">
        <f t="shared" si="2"/>
        <v>4194</v>
      </c>
    </row>
    <row r="172" spans="1:7" ht="15.5" x14ac:dyDescent="0.35">
      <c r="A172" s="3">
        <v>44511</v>
      </c>
      <c r="B172" s="4" t="s">
        <v>23</v>
      </c>
      <c r="C172" s="4" t="s">
        <v>16</v>
      </c>
      <c r="D172" s="4" t="s">
        <v>14</v>
      </c>
      <c r="E172" s="4">
        <v>990</v>
      </c>
      <c r="F172" s="4">
        <v>12</v>
      </c>
      <c r="G172" s="5">
        <f t="shared" si="2"/>
        <v>11880</v>
      </c>
    </row>
    <row r="173" spans="1:7" ht="15.5" x14ac:dyDescent="0.35">
      <c r="A173" s="6">
        <v>44515</v>
      </c>
      <c r="B173" s="7" t="s">
        <v>23</v>
      </c>
      <c r="C173" s="7" t="s">
        <v>22</v>
      </c>
      <c r="D173" s="7" t="s">
        <v>9</v>
      </c>
      <c r="E173" s="7">
        <v>450</v>
      </c>
      <c r="F173" s="7">
        <v>44</v>
      </c>
      <c r="G173" s="8">
        <f t="shared" si="2"/>
        <v>19800</v>
      </c>
    </row>
    <row r="174" spans="1:7" ht="15.5" x14ac:dyDescent="0.35">
      <c r="A174" s="3">
        <v>44519</v>
      </c>
      <c r="B174" s="4" t="s">
        <v>23</v>
      </c>
      <c r="C174" s="4" t="s">
        <v>16</v>
      </c>
      <c r="D174" s="4" t="s">
        <v>9</v>
      </c>
      <c r="E174" s="4">
        <v>1499</v>
      </c>
      <c r="F174" s="4">
        <v>15</v>
      </c>
      <c r="G174" s="5">
        <f t="shared" si="2"/>
        <v>22485</v>
      </c>
    </row>
    <row r="175" spans="1:7" ht="15.5" x14ac:dyDescent="0.35">
      <c r="A175" s="6">
        <v>44523</v>
      </c>
      <c r="B175" s="7" t="s">
        <v>7</v>
      </c>
      <c r="C175" s="7" t="s">
        <v>8</v>
      </c>
      <c r="D175" s="7" t="s">
        <v>21</v>
      </c>
      <c r="E175" s="7">
        <v>499</v>
      </c>
      <c r="F175" s="7">
        <v>26</v>
      </c>
      <c r="G175" s="8">
        <f t="shared" si="2"/>
        <v>12974</v>
      </c>
    </row>
    <row r="176" spans="1:7" ht="15.5" x14ac:dyDescent="0.35">
      <c r="A176" s="3">
        <v>44527</v>
      </c>
      <c r="B176" s="4" t="s">
        <v>19</v>
      </c>
      <c r="C176" s="4" t="s">
        <v>13</v>
      </c>
      <c r="D176" s="4" t="s">
        <v>21</v>
      </c>
      <c r="E176" s="4">
        <v>960</v>
      </c>
      <c r="F176" s="4">
        <v>16</v>
      </c>
      <c r="G176" s="5">
        <f t="shared" si="2"/>
        <v>15360</v>
      </c>
    </row>
    <row r="177" spans="1:7" ht="15.5" x14ac:dyDescent="0.35">
      <c r="A177" s="6">
        <v>44531</v>
      </c>
      <c r="B177" s="7" t="s">
        <v>12</v>
      </c>
      <c r="C177" s="7" t="s">
        <v>16</v>
      </c>
      <c r="D177" s="7" t="s">
        <v>18</v>
      </c>
      <c r="E177" s="7">
        <v>5599</v>
      </c>
      <c r="F177" s="7">
        <v>35</v>
      </c>
      <c r="G177" s="8">
        <f t="shared" si="2"/>
        <v>195965</v>
      </c>
    </row>
    <row r="178" spans="1:7" ht="15.5" x14ac:dyDescent="0.35">
      <c r="A178" s="3">
        <v>44535</v>
      </c>
      <c r="B178" s="4" t="s">
        <v>15</v>
      </c>
      <c r="C178" s="4" t="s">
        <v>17</v>
      </c>
      <c r="D178" s="4" t="s">
        <v>9</v>
      </c>
      <c r="E178" s="4">
        <v>89</v>
      </c>
      <c r="F178" s="4">
        <v>36</v>
      </c>
      <c r="G178" s="5">
        <f t="shared" si="2"/>
        <v>3204</v>
      </c>
    </row>
    <row r="179" spans="1:7" ht="15.5" x14ac:dyDescent="0.35">
      <c r="A179" s="6">
        <v>44539</v>
      </c>
      <c r="B179" s="7" t="s">
        <v>7</v>
      </c>
      <c r="C179" s="7" t="s">
        <v>8</v>
      </c>
      <c r="D179" s="7" t="s">
        <v>14</v>
      </c>
      <c r="E179" s="7">
        <v>2550</v>
      </c>
      <c r="F179" s="7">
        <v>20</v>
      </c>
      <c r="G179" s="8">
        <f t="shared" si="2"/>
        <v>51000</v>
      </c>
    </row>
    <row r="180" spans="1:7" ht="15.5" x14ac:dyDescent="0.35">
      <c r="A180" s="3">
        <v>44543</v>
      </c>
      <c r="B180" s="4" t="s">
        <v>7</v>
      </c>
      <c r="C180" s="4" t="s">
        <v>8</v>
      </c>
      <c r="D180" s="4" t="s">
        <v>9</v>
      </c>
      <c r="E180" s="4">
        <v>1450</v>
      </c>
      <c r="F180" s="4">
        <v>47</v>
      </c>
      <c r="G180" s="5">
        <f t="shared" si="2"/>
        <v>68150</v>
      </c>
    </row>
    <row r="181" spans="1:7" ht="15.5" x14ac:dyDescent="0.35">
      <c r="A181" s="6">
        <v>44547</v>
      </c>
      <c r="B181" s="7" t="s">
        <v>23</v>
      </c>
      <c r="C181" s="7" t="s">
        <v>22</v>
      </c>
      <c r="D181" s="7" t="s">
        <v>18</v>
      </c>
      <c r="E181" s="7">
        <v>2900</v>
      </c>
      <c r="F181" s="7">
        <v>6</v>
      </c>
      <c r="G181" s="8">
        <f t="shared" si="2"/>
        <v>17400</v>
      </c>
    </row>
    <row r="182" spans="1:7" ht="15.5" x14ac:dyDescent="0.35">
      <c r="A182" s="3">
        <v>44551</v>
      </c>
      <c r="B182" s="4" t="s">
        <v>15</v>
      </c>
      <c r="C182" s="4" t="s">
        <v>17</v>
      </c>
      <c r="D182" s="4" t="s">
        <v>21</v>
      </c>
      <c r="E182" s="4">
        <v>120</v>
      </c>
      <c r="F182" s="4">
        <v>6</v>
      </c>
      <c r="G182" s="5">
        <f t="shared" si="2"/>
        <v>720</v>
      </c>
    </row>
    <row r="183" spans="1:7" ht="15.5" x14ac:dyDescent="0.35">
      <c r="A183" s="6">
        <v>44555</v>
      </c>
      <c r="B183" s="7" t="s">
        <v>19</v>
      </c>
      <c r="C183" s="7" t="s">
        <v>20</v>
      </c>
      <c r="D183" s="7" t="s">
        <v>21</v>
      </c>
      <c r="E183" s="7">
        <v>52000</v>
      </c>
      <c r="F183" s="7">
        <v>41</v>
      </c>
      <c r="G183" s="8">
        <f t="shared" si="2"/>
        <v>2132000</v>
      </c>
    </row>
    <row r="184" spans="1:7" ht="15.5" x14ac:dyDescent="0.35">
      <c r="A184" s="3">
        <v>44559</v>
      </c>
      <c r="B184" s="4" t="s">
        <v>23</v>
      </c>
      <c r="C184" s="4" t="s">
        <v>22</v>
      </c>
      <c r="D184" s="4" t="s">
        <v>14</v>
      </c>
      <c r="E184" s="4">
        <v>590</v>
      </c>
      <c r="F184" s="4">
        <v>29</v>
      </c>
      <c r="G184" s="5">
        <f t="shared" si="2"/>
        <v>17110</v>
      </c>
    </row>
    <row r="185" spans="1:7" ht="15.5" x14ac:dyDescent="0.35">
      <c r="A185" s="6">
        <v>44563</v>
      </c>
      <c r="B185" s="7" t="s">
        <v>19</v>
      </c>
      <c r="C185" s="7" t="s">
        <v>16</v>
      </c>
      <c r="D185" s="7" t="s">
        <v>24</v>
      </c>
      <c r="E185" s="7">
        <v>7999</v>
      </c>
      <c r="F185" s="7">
        <v>31</v>
      </c>
      <c r="G185" s="8">
        <f t="shared" si="2"/>
        <v>247969</v>
      </c>
    </row>
    <row r="186" spans="1:7" ht="15.5" x14ac:dyDescent="0.35">
      <c r="A186" s="3">
        <v>44567</v>
      </c>
      <c r="B186" s="4" t="s">
        <v>10</v>
      </c>
      <c r="C186" s="4" t="s">
        <v>17</v>
      </c>
      <c r="D186" s="4" t="s">
        <v>14</v>
      </c>
      <c r="E186" s="4">
        <v>999</v>
      </c>
      <c r="F186" s="4">
        <v>34</v>
      </c>
      <c r="G186" s="5">
        <f t="shared" si="2"/>
        <v>33966</v>
      </c>
    </row>
    <row r="187" spans="1:7" ht="15.5" x14ac:dyDescent="0.35">
      <c r="A187" s="6">
        <v>44571</v>
      </c>
      <c r="B187" s="7" t="s">
        <v>12</v>
      </c>
      <c r="C187" s="7" t="s">
        <v>22</v>
      </c>
      <c r="D187" s="7" t="s">
        <v>9</v>
      </c>
      <c r="E187" s="7">
        <v>990</v>
      </c>
      <c r="F187" s="7">
        <v>43</v>
      </c>
      <c r="G187" s="8">
        <f t="shared" si="2"/>
        <v>42570</v>
      </c>
    </row>
    <row r="188" spans="1:7" ht="15.5" x14ac:dyDescent="0.35">
      <c r="A188" s="3">
        <v>44575</v>
      </c>
      <c r="B188" s="4" t="s">
        <v>19</v>
      </c>
      <c r="C188" s="4" t="s">
        <v>20</v>
      </c>
      <c r="D188" s="4" t="s">
        <v>9</v>
      </c>
      <c r="E188" s="4">
        <v>11999</v>
      </c>
      <c r="F188" s="4">
        <v>37</v>
      </c>
      <c r="G188" s="5">
        <f t="shared" si="2"/>
        <v>443963</v>
      </c>
    </row>
    <row r="189" spans="1:7" ht="15.5" x14ac:dyDescent="0.35">
      <c r="A189" s="6">
        <v>44579</v>
      </c>
      <c r="B189" s="7" t="s">
        <v>19</v>
      </c>
      <c r="C189" s="7" t="s">
        <v>13</v>
      </c>
      <c r="D189" s="7" t="s">
        <v>9</v>
      </c>
      <c r="E189" s="7">
        <v>960</v>
      </c>
      <c r="F189" s="7">
        <v>7</v>
      </c>
      <c r="G189" s="8">
        <f t="shared" si="2"/>
        <v>6720</v>
      </c>
    </row>
    <row r="190" spans="1:7" ht="15.5" x14ac:dyDescent="0.35">
      <c r="A190" s="3">
        <v>44583</v>
      </c>
      <c r="B190" s="4" t="s">
        <v>7</v>
      </c>
      <c r="C190" s="4" t="s">
        <v>8</v>
      </c>
      <c r="D190" s="4" t="s">
        <v>14</v>
      </c>
      <c r="E190" s="4">
        <v>1450</v>
      </c>
      <c r="F190" s="4">
        <v>19</v>
      </c>
      <c r="G190" s="5">
        <f t="shared" si="2"/>
        <v>27550</v>
      </c>
    </row>
    <row r="191" spans="1:7" ht="15.5" x14ac:dyDescent="0.35">
      <c r="A191" s="6">
        <v>44587</v>
      </c>
      <c r="B191" s="7" t="s">
        <v>23</v>
      </c>
      <c r="C191" s="7" t="s">
        <v>22</v>
      </c>
      <c r="D191" s="7" t="s">
        <v>11</v>
      </c>
      <c r="E191" s="7">
        <v>450</v>
      </c>
      <c r="F191" s="7">
        <v>47</v>
      </c>
      <c r="G191" s="8">
        <f t="shared" si="2"/>
        <v>21150</v>
      </c>
    </row>
    <row r="192" spans="1:7" ht="15.5" x14ac:dyDescent="0.35">
      <c r="A192" s="3">
        <v>44591</v>
      </c>
      <c r="B192" s="4" t="s">
        <v>10</v>
      </c>
      <c r="C192" s="4" t="s">
        <v>22</v>
      </c>
      <c r="D192" s="4" t="s">
        <v>14</v>
      </c>
      <c r="E192" s="4">
        <v>1499</v>
      </c>
      <c r="F192" s="4">
        <v>37</v>
      </c>
      <c r="G192" s="5">
        <f t="shared" si="2"/>
        <v>55463</v>
      </c>
    </row>
    <row r="193" spans="1:7" ht="15.5" x14ac:dyDescent="0.35">
      <c r="A193" s="6">
        <v>44595</v>
      </c>
      <c r="B193" s="7" t="s">
        <v>12</v>
      </c>
      <c r="C193" s="7" t="s">
        <v>20</v>
      </c>
      <c r="D193" s="7" t="s">
        <v>11</v>
      </c>
      <c r="E193" s="7">
        <v>79999</v>
      </c>
      <c r="F193" s="7">
        <v>4</v>
      </c>
      <c r="G193" s="8">
        <f t="shared" si="2"/>
        <v>319996</v>
      </c>
    </row>
    <row r="194" spans="1:7" ht="15.5" x14ac:dyDescent="0.35">
      <c r="A194" s="3">
        <v>44599</v>
      </c>
      <c r="B194" s="4" t="s">
        <v>12</v>
      </c>
      <c r="C194" s="4" t="s">
        <v>17</v>
      </c>
      <c r="D194" s="4" t="s">
        <v>21</v>
      </c>
      <c r="E194" s="4">
        <v>999</v>
      </c>
      <c r="F194" s="4">
        <v>45</v>
      </c>
      <c r="G194" s="5">
        <f t="shared" si="2"/>
        <v>44955</v>
      </c>
    </row>
    <row r="195" spans="1:7" ht="15.5" x14ac:dyDescent="0.35">
      <c r="A195" s="6">
        <v>44603</v>
      </c>
      <c r="B195" s="7" t="s">
        <v>19</v>
      </c>
      <c r="C195" s="7" t="s">
        <v>20</v>
      </c>
      <c r="D195" s="7" t="s">
        <v>9</v>
      </c>
      <c r="E195" s="7">
        <v>52000</v>
      </c>
      <c r="F195" s="7">
        <v>15</v>
      </c>
      <c r="G195" s="8">
        <f t="shared" ref="G195:G258" si="3">E195*F195</f>
        <v>780000</v>
      </c>
    </row>
    <row r="196" spans="1:7" ht="15.5" x14ac:dyDescent="0.35">
      <c r="A196" s="3">
        <v>44607</v>
      </c>
      <c r="B196" s="4" t="s">
        <v>19</v>
      </c>
      <c r="C196" s="4" t="s">
        <v>20</v>
      </c>
      <c r="D196" s="4" t="s">
        <v>18</v>
      </c>
      <c r="E196" s="4">
        <v>52000</v>
      </c>
      <c r="F196" s="4">
        <v>39</v>
      </c>
      <c r="G196" s="5">
        <f t="shared" si="3"/>
        <v>2028000</v>
      </c>
    </row>
    <row r="197" spans="1:7" ht="15.5" x14ac:dyDescent="0.35">
      <c r="A197" s="6">
        <v>44611</v>
      </c>
      <c r="B197" s="7" t="s">
        <v>19</v>
      </c>
      <c r="C197" s="7" t="s">
        <v>13</v>
      </c>
      <c r="D197" s="7" t="s">
        <v>14</v>
      </c>
      <c r="E197" s="7">
        <v>960</v>
      </c>
      <c r="F197" s="7">
        <v>33</v>
      </c>
      <c r="G197" s="8">
        <f t="shared" si="3"/>
        <v>31680</v>
      </c>
    </row>
    <row r="198" spans="1:7" ht="15.5" x14ac:dyDescent="0.35">
      <c r="A198" s="3">
        <v>44615</v>
      </c>
      <c r="B198" s="4" t="s">
        <v>19</v>
      </c>
      <c r="C198" s="4" t="s">
        <v>13</v>
      </c>
      <c r="D198" s="4" t="s">
        <v>14</v>
      </c>
      <c r="E198" s="4">
        <v>1450</v>
      </c>
      <c r="F198" s="4">
        <v>34</v>
      </c>
      <c r="G198" s="5">
        <f t="shared" si="3"/>
        <v>49300</v>
      </c>
    </row>
    <row r="199" spans="1:7" ht="15.5" x14ac:dyDescent="0.35">
      <c r="A199" s="6">
        <v>44619</v>
      </c>
      <c r="B199" s="7" t="s">
        <v>19</v>
      </c>
      <c r="C199" s="7" t="s">
        <v>16</v>
      </c>
      <c r="D199" s="7" t="s">
        <v>18</v>
      </c>
      <c r="E199" s="7">
        <v>2999</v>
      </c>
      <c r="F199" s="7">
        <v>33</v>
      </c>
      <c r="G199" s="8">
        <f t="shared" si="3"/>
        <v>98967</v>
      </c>
    </row>
    <row r="200" spans="1:7" ht="15.5" x14ac:dyDescent="0.35">
      <c r="A200" s="3">
        <v>44623</v>
      </c>
      <c r="B200" s="4" t="s">
        <v>12</v>
      </c>
      <c r="C200" s="4" t="s">
        <v>13</v>
      </c>
      <c r="D200" s="4" t="s">
        <v>21</v>
      </c>
      <c r="E200" s="4">
        <v>1250</v>
      </c>
      <c r="F200" s="4">
        <v>14</v>
      </c>
      <c r="G200" s="5">
        <f t="shared" si="3"/>
        <v>17500</v>
      </c>
    </row>
    <row r="201" spans="1:7" ht="15.5" x14ac:dyDescent="0.35">
      <c r="A201" s="6">
        <v>44627</v>
      </c>
      <c r="B201" s="7" t="s">
        <v>15</v>
      </c>
      <c r="C201" s="7" t="s">
        <v>17</v>
      </c>
      <c r="D201" s="7" t="s">
        <v>9</v>
      </c>
      <c r="E201" s="7">
        <v>120</v>
      </c>
      <c r="F201" s="7">
        <v>41</v>
      </c>
      <c r="G201" s="8">
        <f t="shared" si="3"/>
        <v>4920</v>
      </c>
    </row>
    <row r="202" spans="1:7" ht="15.5" x14ac:dyDescent="0.35">
      <c r="A202" s="3">
        <v>44631</v>
      </c>
      <c r="B202" s="4" t="s">
        <v>10</v>
      </c>
      <c r="C202" s="4" t="s">
        <v>8</v>
      </c>
      <c r="D202" s="4" t="s">
        <v>18</v>
      </c>
      <c r="E202" s="4">
        <v>1450</v>
      </c>
      <c r="F202" s="4">
        <v>22</v>
      </c>
      <c r="G202" s="5">
        <f t="shared" si="3"/>
        <v>31900</v>
      </c>
    </row>
    <row r="203" spans="1:7" ht="15.5" x14ac:dyDescent="0.35">
      <c r="A203" s="6">
        <v>44635</v>
      </c>
      <c r="B203" s="7" t="s">
        <v>10</v>
      </c>
      <c r="C203" s="7" t="s">
        <v>20</v>
      </c>
      <c r="D203" s="7" t="s">
        <v>9</v>
      </c>
      <c r="E203" s="7">
        <v>89999</v>
      </c>
      <c r="F203" s="7">
        <v>15</v>
      </c>
      <c r="G203" s="8">
        <f t="shared" si="3"/>
        <v>1349985</v>
      </c>
    </row>
    <row r="204" spans="1:7" ht="15.5" x14ac:dyDescent="0.35">
      <c r="A204" s="3">
        <v>44639</v>
      </c>
      <c r="B204" s="4" t="s">
        <v>23</v>
      </c>
      <c r="C204" s="4" t="s">
        <v>22</v>
      </c>
      <c r="D204" s="4" t="s">
        <v>14</v>
      </c>
      <c r="E204" s="4">
        <v>1999</v>
      </c>
      <c r="F204" s="4">
        <v>48</v>
      </c>
      <c r="G204" s="5">
        <f t="shared" si="3"/>
        <v>95952</v>
      </c>
    </row>
    <row r="205" spans="1:7" ht="15.5" x14ac:dyDescent="0.35">
      <c r="A205" s="6">
        <v>44643</v>
      </c>
      <c r="B205" s="7" t="s">
        <v>23</v>
      </c>
      <c r="C205" s="7" t="s">
        <v>16</v>
      </c>
      <c r="D205" s="7" t="s">
        <v>18</v>
      </c>
      <c r="E205" s="7">
        <v>2900</v>
      </c>
      <c r="F205" s="7">
        <v>49</v>
      </c>
      <c r="G205" s="8">
        <f t="shared" si="3"/>
        <v>142100</v>
      </c>
    </row>
    <row r="206" spans="1:7" ht="15.5" x14ac:dyDescent="0.35">
      <c r="A206" s="3">
        <v>44647</v>
      </c>
      <c r="B206" s="4" t="s">
        <v>19</v>
      </c>
      <c r="C206" s="4" t="s">
        <v>20</v>
      </c>
      <c r="D206" s="4" t="s">
        <v>21</v>
      </c>
      <c r="E206" s="4">
        <v>700</v>
      </c>
      <c r="F206" s="4">
        <v>50</v>
      </c>
      <c r="G206" s="5">
        <f t="shared" si="3"/>
        <v>35000</v>
      </c>
    </row>
    <row r="207" spans="1:7" ht="15.5" x14ac:dyDescent="0.35">
      <c r="A207" s="6">
        <v>44651</v>
      </c>
      <c r="B207" s="7" t="s">
        <v>15</v>
      </c>
      <c r="C207" s="7" t="s">
        <v>17</v>
      </c>
      <c r="D207" s="7" t="s">
        <v>18</v>
      </c>
      <c r="E207" s="7">
        <v>200</v>
      </c>
      <c r="F207" s="7">
        <v>41</v>
      </c>
      <c r="G207" s="8">
        <f t="shared" si="3"/>
        <v>8200</v>
      </c>
    </row>
    <row r="208" spans="1:7" ht="15.5" x14ac:dyDescent="0.35">
      <c r="A208" s="3">
        <v>44655</v>
      </c>
      <c r="B208" s="4" t="s">
        <v>7</v>
      </c>
      <c r="C208" s="4" t="s">
        <v>8</v>
      </c>
      <c r="D208" s="4" t="s">
        <v>14</v>
      </c>
      <c r="E208" s="4">
        <v>499</v>
      </c>
      <c r="F208" s="4">
        <v>29</v>
      </c>
      <c r="G208" s="5">
        <f t="shared" si="3"/>
        <v>14471</v>
      </c>
    </row>
    <row r="209" spans="1:7" ht="15.5" x14ac:dyDescent="0.35">
      <c r="A209" s="6">
        <v>44659</v>
      </c>
      <c r="B209" s="7" t="s">
        <v>12</v>
      </c>
      <c r="C209" s="7" t="s">
        <v>8</v>
      </c>
      <c r="D209" s="7" t="s">
        <v>24</v>
      </c>
      <c r="E209" s="7">
        <v>5599</v>
      </c>
      <c r="F209" s="7">
        <v>36</v>
      </c>
      <c r="G209" s="8">
        <f t="shared" si="3"/>
        <v>201564</v>
      </c>
    </row>
    <row r="210" spans="1:7" ht="15.5" x14ac:dyDescent="0.35">
      <c r="A210" s="3">
        <v>44663</v>
      </c>
      <c r="B210" s="4" t="s">
        <v>10</v>
      </c>
      <c r="C210" s="4" t="s">
        <v>17</v>
      </c>
      <c r="D210" s="4" t="s">
        <v>18</v>
      </c>
      <c r="E210" s="4">
        <v>100</v>
      </c>
      <c r="F210" s="4">
        <v>39</v>
      </c>
      <c r="G210" s="5">
        <f t="shared" si="3"/>
        <v>3900</v>
      </c>
    </row>
    <row r="211" spans="1:7" ht="15.5" x14ac:dyDescent="0.35">
      <c r="A211" s="6">
        <v>44667</v>
      </c>
      <c r="B211" s="7" t="s">
        <v>19</v>
      </c>
      <c r="C211" s="7" t="s">
        <v>16</v>
      </c>
      <c r="D211" s="7" t="s">
        <v>18</v>
      </c>
      <c r="E211" s="7">
        <v>79999</v>
      </c>
      <c r="F211" s="7">
        <v>9</v>
      </c>
      <c r="G211" s="8">
        <f t="shared" si="3"/>
        <v>719991</v>
      </c>
    </row>
    <row r="212" spans="1:7" ht="15.5" x14ac:dyDescent="0.35">
      <c r="A212" s="3">
        <v>44671</v>
      </c>
      <c r="B212" s="4" t="s">
        <v>12</v>
      </c>
      <c r="C212" s="4" t="s">
        <v>20</v>
      </c>
      <c r="D212" s="4" t="s">
        <v>14</v>
      </c>
      <c r="E212" s="4">
        <v>700</v>
      </c>
      <c r="F212" s="4">
        <v>38</v>
      </c>
      <c r="G212" s="5">
        <f t="shared" si="3"/>
        <v>26600</v>
      </c>
    </row>
    <row r="213" spans="1:7" ht="15.5" x14ac:dyDescent="0.35">
      <c r="A213" s="6">
        <v>44675</v>
      </c>
      <c r="B213" s="7" t="s">
        <v>19</v>
      </c>
      <c r="C213" s="7" t="s">
        <v>13</v>
      </c>
      <c r="D213" s="7" t="s">
        <v>9</v>
      </c>
      <c r="E213" s="7">
        <v>550</v>
      </c>
      <c r="F213" s="7">
        <v>25</v>
      </c>
      <c r="G213" s="8">
        <f t="shared" si="3"/>
        <v>13750</v>
      </c>
    </row>
    <row r="214" spans="1:7" ht="15.5" x14ac:dyDescent="0.35">
      <c r="A214" s="3">
        <v>44679</v>
      </c>
      <c r="B214" s="4" t="s">
        <v>23</v>
      </c>
      <c r="C214" s="4" t="s">
        <v>22</v>
      </c>
      <c r="D214" s="4" t="s">
        <v>18</v>
      </c>
      <c r="E214" s="4">
        <v>1499</v>
      </c>
      <c r="F214" s="4">
        <v>16</v>
      </c>
      <c r="G214" s="5">
        <f t="shared" si="3"/>
        <v>23984</v>
      </c>
    </row>
    <row r="215" spans="1:7" ht="15.5" x14ac:dyDescent="0.35">
      <c r="A215" s="6">
        <v>44683</v>
      </c>
      <c r="B215" s="7" t="s">
        <v>15</v>
      </c>
      <c r="C215" s="7" t="s">
        <v>17</v>
      </c>
      <c r="D215" s="7" t="s">
        <v>21</v>
      </c>
      <c r="E215" s="7">
        <v>120</v>
      </c>
      <c r="F215" s="7">
        <v>22</v>
      </c>
      <c r="G215" s="8">
        <f t="shared" si="3"/>
        <v>2640</v>
      </c>
    </row>
    <row r="216" spans="1:7" ht="15.5" x14ac:dyDescent="0.35">
      <c r="A216" s="3">
        <v>44687</v>
      </c>
      <c r="B216" s="4" t="s">
        <v>7</v>
      </c>
      <c r="C216" s="4" t="s">
        <v>8</v>
      </c>
      <c r="D216" s="4" t="s">
        <v>11</v>
      </c>
      <c r="E216" s="4">
        <v>1450</v>
      </c>
      <c r="F216" s="4">
        <v>20</v>
      </c>
      <c r="G216" s="5">
        <f t="shared" si="3"/>
        <v>29000</v>
      </c>
    </row>
    <row r="217" spans="1:7" ht="15.5" x14ac:dyDescent="0.35">
      <c r="A217" s="6">
        <v>44691</v>
      </c>
      <c r="B217" s="7" t="s">
        <v>23</v>
      </c>
      <c r="C217" s="7" t="s">
        <v>16</v>
      </c>
      <c r="D217" s="7" t="s">
        <v>14</v>
      </c>
      <c r="E217" s="7">
        <v>1999</v>
      </c>
      <c r="F217" s="7">
        <v>23</v>
      </c>
      <c r="G217" s="8">
        <f t="shared" si="3"/>
        <v>45977</v>
      </c>
    </row>
    <row r="218" spans="1:7" ht="15.5" x14ac:dyDescent="0.35">
      <c r="A218" s="3">
        <v>44695</v>
      </c>
      <c r="B218" s="4" t="s">
        <v>7</v>
      </c>
      <c r="C218" s="4" t="s">
        <v>8</v>
      </c>
      <c r="D218" s="4" t="s">
        <v>18</v>
      </c>
      <c r="E218" s="4">
        <v>800</v>
      </c>
      <c r="F218" s="4">
        <v>43</v>
      </c>
      <c r="G218" s="5">
        <f t="shared" si="3"/>
        <v>34400</v>
      </c>
    </row>
    <row r="219" spans="1:7" ht="15.5" x14ac:dyDescent="0.35">
      <c r="A219" s="6">
        <v>44699</v>
      </c>
      <c r="B219" s="7" t="s">
        <v>12</v>
      </c>
      <c r="C219" s="7" t="s">
        <v>17</v>
      </c>
      <c r="D219" s="7" t="s">
        <v>21</v>
      </c>
      <c r="E219" s="7">
        <v>100</v>
      </c>
      <c r="F219" s="7">
        <v>41</v>
      </c>
      <c r="G219" s="8">
        <f t="shared" si="3"/>
        <v>4100</v>
      </c>
    </row>
    <row r="220" spans="1:7" ht="15.5" x14ac:dyDescent="0.35">
      <c r="A220" s="3">
        <v>44703</v>
      </c>
      <c r="B220" s="4" t="s">
        <v>7</v>
      </c>
      <c r="C220" s="4" t="s">
        <v>8</v>
      </c>
      <c r="D220" s="4" t="s">
        <v>14</v>
      </c>
      <c r="E220" s="4">
        <v>13999</v>
      </c>
      <c r="F220" s="4">
        <v>37</v>
      </c>
      <c r="G220" s="5">
        <f t="shared" si="3"/>
        <v>517963</v>
      </c>
    </row>
    <row r="221" spans="1:7" ht="15.5" x14ac:dyDescent="0.35">
      <c r="A221" s="6">
        <v>44707</v>
      </c>
      <c r="B221" s="7" t="s">
        <v>19</v>
      </c>
      <c r="C221" s="7" t="s">
        <v>20</v>
      </c>
      <c r="D221" s="7" t="s">
        <v>18</v>
      </c>
      <c r="E221" s="7">
        <v>22000</v>
      </c>
      <c r="F221" s="7">
        <v>45</v>
      </c>
      <c r="G221" s="8">
        <f t="shared" si="3"/>
        <v>990000</v>
      </c>
    </row>
    <row r="222" spans="1:7" ht="15.5" x14ac:dyDescent="0.35">
      <c r="A222" s="3">
        <v>44711</v>
      </c>
      <c r="B222" s="4" t="s">
        <v>19</v>
      </c>
      <c r="C222" s="4" t="s">
        <v>20</v>
      </c>
      <c r="D222" s="4" t="s">
        <v>24</v>
      </c>
      <c r="E222" s="4">
        <v>89999</v>
      </c>
      <c r="F222" s="4">
        <v>15</v>
      </c>
      <c r="G222" s="5">
        <f t="shared" si="3"/>
        <v>1349985</v>
      </c>
    </row>
    <row r="223" spans="1:7" ht="15.5" x14ac:dyDescent="0.35">
      <c r="A223" s="6">
        <v>44715</v>
      </c>
      <c r="B223" s="7" t="s">
        <v>10</v>
      </c>
      <c r="C223" s="7" t="s">
        <v>16</v>
      </c>
      <c r="D223" s="7" t="s">
        <v>18</v>
      </c>
      <c r="E223" s="7">
        <v>13999</v>
      </c>
      <c r="F223" s="7">
        <v>22</v>
      </c>
      <c r="G223" s="8">
        <f t="shared" si="3"/>
        <v>307978</v>
      </c>
    </row>
    <row r="224" spans="1:7" ht="15.5" x14ac:dyDescent="0.35">
      <c r="A224" s="3">
        <v>44719</v>
      </c>
      <c r="B224" s="4" t="s">
        <v>12</v>
      </c>
      <c r="C224" s="4" t="s">
        <v>22</v>
      </c>
      <c r="D224" s="4" t="s">
        <v>14</v>
      </c>
      <c r="E224" s="4">
        <v>2900</v>
      </c>
      <c r="F224" s="4">
        <v>20</v>
      </c>
      <c r="G224" s="5">
        <f t="shared" si="3"/>
        <v>58000</v>
      </c>
    </row>
    <row r="225" spans="1:7" ht="15.5" x14ac:dyDescent="0.35">
      <c r="A225" s="6">
        <v>44723</v>
      </c>
      <c r="B225" s="7" t="s">
        <v>10</v>
      </c>
      <c r="C225" s="7" t="s">
        <v>20</v>
      </c>
      <c r="D225" s="7" t="s">
        <v>18</v>
      </c>
      <c r="E225" s="7">
        <v>33000</v>
      </c>
      <c r="F225" s="7">
        <v>16</v>
      </c>
      <c r="G225" s="8">
        <f t="shared" si="3"/>
        <v>528000</v>
      </c>
    </row>
    <row r="226" spans="1:7" ht="15.5" x14ac:dyDescent="0.35">
      <c r="A226" s="3">
        <v>44727</v>
      </c>
      <c r="B226" s="4" t="s">
        <v>19</v>
      </c>
      <c r="C226" s="4" t="s">
        <v>16</v>
      </c>
      <c r="D226" s="4" t="s">
        <v>11</v>
      </c>
      <c r="E226" s="4">
        <v>22000</v>
      </c>
      <c r="F226" s="4">
        <v>17</v>
      </c>
      <c r="G226" s="5">
        <f t="shared" si="3"/>
        <v>374000</v>
      </c>
    </row>
    <row r="227" spans="1:7" ht="15.5" x14ac:dyDescent="0.35">
      <c r="A227" s="6">
        <v>44731</v>
      </c>
      <c r="B227" s="7" t="s">
        <v>23</v>
      </c>
      <c r="C227" s="7" t="s">
        <v>22</v>
      </c>
      <c r="D227" s="7" t="s">
        <v>11</v>
      </c>
      <c r="E227" s="7">
        <v>699</v>
      </c>
      <c r="F227" s="7">
        <v>50</v>
      </c>
      <c r="G227" s="8">
        <f t="shared" si="3"/>
        <v>34950</v>
      </c>
    </row>
    <row r="228" spans="1:7" ht="15.5" x14ac:dyDescent="0.35">
      <c r="A228" s="3">
        <v>44735</v>
      </c>
      <c r="B228" s="4" t="s">
        <v>12</v>
      </c>
      <c r="C228" s="4" t="s">
        <v>20</v>
      </c>
      <c r="D228" s="4" t="s">
        <v>14</v>
      </c>
      <c r="E228" s="4">
        <v>499</v>
      </c>
      <c r="F228" s="4">
        <v>4</v>
      </c>
      <c r="G228" s="5">
        <f t="shared" si="3"/>
        <v>1996</v>
      </c>
    </row>
    <row r="229" spans="1:7" ht="15.5" x14ac:dyDescent="0.35">
      <c r="A229" s="6">
        <v>44739</v>
      </c>
      <c r="B229" s="7" t="s">
        <v>23</v>
      </c>
      <c r="C229" s="7" t="s">
        <v>22</v>
      </c>
      <c r="D229" s="7" t="s">
        <v>18</v>
      </c>
      <c r="E229" s="7">
        <v>590</v>
      </c>
      <c r="F229" s="7">
        <v>43</v>
      </c>
      <c r="G229" s="8">
        <f t="shared" si="3"/>
        <v>25370</v>
      </c>
    </row>
    <row r="230" spans="1:7" ht="15.5" x14ac:dyDescent="0.35">
      <c r="A230" s="3">
        <v>44743</v>
      </c>
      <c r="B230" s="4" t="s">
        <v>23</v>
      </c>
      <c r="C230" s="4" t="s">
        <v>22</v>
      </c>
      <c r="D230" s="4" t="s">
        <v>11</v>
      </c>
      <c r="E230" s="4">
        <v>590</v>
      </c>
      <c r="F230" s="4">
        <v>42</v>
      </c>
      <c r="G230" s="5">
        <f t="shared" si="3"/>
        <v>24780</v>
      </c>
    </row>
    <row r="231" spans="1:7" ht="15.5" x14ac:dyDescent="0.35">
      <c r="A231" s="6">
        <v>44747</v>
      </c>
      <c r="B231" s="7" t="s">
        <v>15</v>
      </c>
      <c r="C231" s="7" t="s">
        <v>17</v>
      </c>
      <c r="D231" s="7" t="s">
        <v>9</v>
      </c>
      <c r="E231" s="7">
        <v>120</v>
      </c>
      <c r="F231" s="7">
        <v>9</v>
      </c>
      <c r="G231" s="8">
        <f t="shared" si="3"/>
        <v>1080</v>
      </c>
    </row>
    <row r="232" spans="1:7" ht="15.5" x14ac:dyDescent="0.35">
      <c r="A232" s="3">
        <v>44751</v>
      </c>
      <c r="B232" s="4" t="s">
        <v>12</v>
      </c>
      <c r="C232" s="4" t="s">
        <v>20</v>
      </c>
      <c r="D232" s="4" t="s">
        <v>24</v>
      </c>
      <c r="E232" s="4">
        <v>52000</v>
      </c>
      <c r="F232" s="4">
        <v>40</v>
      </c>
      <c r="G232" s="5">
        <f t="shared" si="3"/>
        <v>2080000</v>
      </c>
    </row>
    <row r="233" spans="1:7" ht="15.5" x14ac:dyDescent="0.35">
      <c r="A233" s="6">
        <v>44755</v>
      </c>
      <c r="B233" s="7" t="s">
        <v>19</v>
      </c>
      <c r="C233" s="7" t="s">
        <v>16</v>
      </c>
      <c r="D233" s="7" t="s">
        <v>18</v>
      </c>
      <c r="E233" s="7">
        <v>7999</v>
      </c>
      <c r="F233" s="7">
        <v>14</v>
      </c>
      <c r="G233" s="8">
        <f t="shared" si="3"/>
        <v>111986</v>
      </c>
    </row>
    <row r="234" spans="1:7" ht="15.5" x14ac:dyDescent="0.35">
      <c r="A234" s="3">
        <v>44759</v>
      </c>
      <c r="B234" s="4" t="s">
        <v>12</v>
      </c>
      <c r="C234" s="4" t="s">
        <v>13</v>
      </c>
      <c r="D234" s="4" t="s">
        <v>21</v>
      </c>
      <c r="E234" s="4">
        <v>550</v>
      </c>
      <c r="F234" s="4">
        <v>9</v>
      </c>
      <c r="G234" s="5">
        <f t="shared" si="3"/>
        <v>4950</v>
      </c>
    </row>
    <row r="235" spans="1:7" ht="15.5" x14ac:dyDescent="0.35">
      <c r="A235" s="6">
        <v>44763</v>
      </c>
      <c r="B235" s="7" t="s">
        <v>19</v>
      </c>
      <c r="C235" s="7" t="s">
        <v>20</v>
      </c>
      <c r="D235" s="7" t="s">
        <v>18</v>
      </c>
      <c r="E235" s="7">
        <v>79999</v>
      </c>
      <c r="F235" s="7">
        <v>10</v>
      </c>
      <c r="G235" s="8">
        <f t="shared" si="3"/>
        <v>799990</v>
      </c>
    </row>
    <row r="236" spans="1:7" ht="15.5" x14ac:dyDescent="0.35">
      <c r="A236" s="3">
        <v>44767</v>
      </c>
      <c r="B236" s="4" t="s">
        <v>10</v>
      </c>
      <c r="C236" s="4" t="s">
        <v>16</v>
      </c>
      <c r="D236" s="4" t="s">
        <v>11</v>
      </c>
      <c r="E236" s="4">
        <v>1999</v>
      </c>
      <c r="F236" s="4">
        <v>37</v>
      </c>
      <c r="G236" s="5">
        <f t="shared" si="3"/>
        <v>73963</v>
      </c>
    </row>
    <row r="237" spans="1:7" ht="15.5" x14ac:dyDescent="0.35">
      <c r="A237" s="6">
        <v>44771</v>
      </c>
      <c r="B237" s="7" t="s">
        <v>12</v>
      </c>
      <c r="C237" s="7" t="s">
        <v>20</v>
      </c>
      <c r="D237" s="7" t="s">
        <v>18</v>
      </c>
      <c r="E237" s="7">
        <v>89999</v>
      </c>
      <c r="F237" s="7">
        <v>29</v>
      </c>
      <c r="G237" s="8">
        <f t="shared" si="3"/>
        <v>2609971</v>
      </c>
    </row>
    <row r="238" spans="1:7" ht="15.5" x14ac:dyDescent="0.35">
      <c r="A238" s="3">
        <v>44775</v>
      </c>
      <c r="B238" s="4" t="s">
        <v>19</v>
      </c>
      <c r="C238" s="4" t="s">
        <v>20</v>
      </c>
      <c r="D238" s="4" t="s">
        <v>9</v>
      </c>
      <c r="E238" s="4">
        <v>799</v>
      </c>
      <c r="F238" s="4">
        <v>44</v>
      </c>
      <c r="G238" s="5">
        <f t="shared" si="3"/>
        <v>35156</v>
      </c>
    </row>
    <row r="239" spans="1:7" ht="15.5" x14ac:dyDescent="0.35">
      <c r="A239" s="6">
        <v>44779</v>
      </c>
      <c r="B239" s="7" t="s">
        <v>19</v>
      </c>
      <c r="C239" s="7" t="s">
        <v>20</v>
      </c>
      <c r="D239" s="7" t="s">
        <v>24</v>
      </c>
      <c r="E239" s="7">
        <v>3990</v>
      </c>
      <c r="F239" s="7">
        <v>31</v>
      </c>
      <c r="G239" s="8">
        <f t="shared" si="3"/>
        <v>123690</v>
      </c>
    </row>
    <row r="240" spans="1:7" ht="15.5" x14ac:dyDescent="0.35">
      <c r="A240" s="3">
        <v>44783</v>
      </c>
      <c r="B240" s="4" t="s">
        <v>12</v>
      </c>
      <c r="C240" s="4" t="s">
        <v>16</v>
      </c>
      <c r="D240" s="4" t="s">
        <v>14</v>
      </c>
      <c r="E240" s="4">
        <v>52000</v>
      </c>
      <c r="F240" s="4">
        <v>29</v>
      </c>
      <c r="G240" s="5">
        <f t="shared" si="3"/>
        <v>1508000</v>
      </c>
    </row>
    <row r="241" spans="1:7" ht="15.5" x14ac:dyDescent="0.35">
      <c r="A241" s="6">
        <v>44787</v>
      </c>
      <c r="B241" s="7" t="s">
        <v>7</v>
      </c>
      <c r="C241" s="7" t="s">
        <v>8</v>
      </c>
      <c r="D241" s="7" t="s">
        <v>18</v>
      </c>
      <c r="E241" s="7">
        <v>13999</v>
      </c>
      <c r="F241" s="7">
        <v>34</v>
      </c>
      <c r="G241" s="8">
        <f t="shared" si="3"/>
        <v>475966</v>
      </c>
    </row>
    <row r="242" spans="1:7" ht="15.5" x14ac:dyDescent="0.35">
      <c r="A242" s="3">
        <v>44791</v>
      </c>
      <c r="B242" s="4" t="s">
        <v>12</v>
      </c>
      <c r="C242" s="4" t="s">
        <v>17</v>
      </c>
      <c r="D242" s="4" t="s">
        <v>14</v>
      </c>
      <c r="E242" s="4">
        <v>120</v>
      </c>
      <c r="F242" s="4">
        <v>29</v>
      </c>
      <c r="G242" s="5">
        <f t="shared" si="3"/>
        <v>3480</v>
      </c>
    </row>
    <row r="243" spans="1:7" ht="15.5" x14ac:dyDescent="0.35">
      <c r="A243" s="6">
        <v>44795</v>
      </c>
      <c r="B243" s="7" t="s">
        <v>19</v>
      </c>
      <c r="C243" s="7" t="s">
        <v>13</v>
      </c>
      <c r="D243" s="7" t="s">
        <v>9</v>
      </c>
      <c r="E243" s="7">
        <v>23999</v>
      </c>
      <c r="F243" s="7">
        <v>25</v>
      </c>
      <c r="G243" s="8">
        <f t="shared" si="3"/>
        <v>599975</v>
      </c>
    </row>
    <row r="244" spans="1:7" ht="15.5" x14ac:dyDescent="0.35">
      <c r="A244" s="3">
        <v>44799</v>
      </c>
      <c r="B244" s="4" t="s">
        <v>12</v>
      </c>
      <c r="C244" s="4" t="s">
        <v>13</v>
      </c>
      <c r="D244" s="4" t="s">
        <v>18</v>
      </c>
      <c r="E244" s="4">
        <v>1250</v>
      </c>
      <c r="F244" s="4">
        <v>31</v>
      </c>
      <c r="G244" s="5">
        <f t="shared" si="3"/>
        <v>38750</v>
      </c>
    </row>
    <row r="245" spans="1:7" ht="15.5" x14ac:dyDescent="0.35">
      <c r="A245" s="6">
        <v>44803</v>
      </c>
      <c r="B245" s="7" t="s">
        <v>23</v>
      </c>
      <c r="C245" s="7" t="s">
        <v>16</v>
      </c>
      <c r="D245" s="7" t="s">
        <v>18</v>
      </c>
      <c r="E245" s="7">
        <v>45000</v>
      </c>
      <c r="F245" s="7">
        <v>16</v>
      </c>
      <c r="G245" s="8">
        <f t="shared" si="3"/>
        <v>720000</v>
      </c>
    </row>
    <row r="246" spans="1:7" ht="15.5" x14ac:dyDescent="0.35">
      <c r="A246" s="3">
        <v>44807</v>
      </c>
      <c r="B246" s="4" t="s">
        <v>10</v>
      </c>
      <c r="C246" s="4" t="s">
        <v>17</v>
      </c>
      <c r="D246" s="4" t="s">
        <v>14</v>
      </c>
      <c r="E246" s="4">
        <v>120</v>
      </c>
      <c r="F246" s="4">
        <v>48</v>
      </c>
      <c r="G246" s="5">
        <f t="shared" si="3"/>
        <v>5760</v>
      </c>
    </row>
    <row r="247" spans="1:7" ht="15.5" x14ac:dyDescent="0.35">
      <c r="A247" s="6">
        <v>44811</v>
      </c>
      <c r="B247" s="7" t="s">
        <v>12</v>
      </c>
      <c r="C247" s="7" t="s">
        <v>16</v>
      </c>
      <c r="D247" s="7" t="s">
        <v>21</v>
      </c>
      <c r="E247" s="7">
        <v>25600</v>
      </c>
      <c r="F247" s="7">
        <v>22</v>
      </c>
      <c r="G247" s="8">
        <f t="shared" si="3"/>
        <v>563200</v>
      </c>
    </row>
    <row r="248" spans="1:7" ht="15.5" x14ac:dyDescent="0.35">
      <c r="A248" s="3">
        <v>44815</v>
      </c>
      <c r="B248" s="4" t="s">
        <v>23</v>
      </c>
      <c r="C248" s="4" t="s">
        <v>22</v>
      </c>
      <c r="D248" s="4" t="s">
        <v>18</v>
      </c>
      <c r="E248" s="4">
        <v>699</v>
      </c>
      <c r="F248" s="4">
        <v>6</v>
      </c>
      <c r="G248" s="5">
        <f t="shared" si="3"/>
        <v>4194</v>
      </c>
    </row>
    <row r="249" spans="1:7" ht="15.5" x14ac:dyDescent="0.35">
      <c r="A249" s="6">
        <v>44819</v>
      </c>
      <c r="B249" s="7" t="s">
        <v>23</v>
      </c>
      <c r="C249" s="7" t="s">
        <v>16</v>
      </c>
      <c r="D249" s="7" t="s">
        <v>14</v>
      </c>
      <c r="E249" s="7">
        <v>99620</v>
      </c>
      <c r="F249" s="7">
        <v>12</v>
      </c>
      <c r="G249" s="8">
        <f t="shared" si="3"/>
        <v>1195440</v>
      </c>
    </row>
    <row r="250" spans="1:7" ht="15.5" x14ac:dyDescent="0.35">
      <c r="A250" s="3">
        <v>44823</v>
      </c>
      <c r="B250" s="4" t="s">
        <v>12</v>
      </c>
      <c r="C250" s="4" t="s">
        <v>22</v>
      </c>
      <c r="D250" s="4" t="s">
        <v>24</v>
      </c>
      <c r="E250" s="4">
        <v>450</v>
      </c>
      <c r="F250" s="4">
        <v>44</v>
      </c>
      <c r="G250" s="5">
        <f t="shared" si="3"/>
        <v>19800</v>
      </c>
    </row>
    <row r="251" spans="1:7" ht="15.5" x14ac:dyDescent="0.35">
      <c r="A251" s="6">
        <v>44827</v>
      </c>
      <c r="B251" s="7" t="s">
        <v>23</v>
      </c>
      <c r="C251" s="7" t="s">
        <v>22</v>
      </c>
      <c r="D251" s="7" t="s">
        <v>14</v>
      </c>
      <c r="E251" s="7">
        <v>1499</v>
      </c>
      <c r="F251" s="7">
        <v>15</v>
      </c>
      <c r="G251" s="8">
        <f t="shared" si="3"/>
        <v>22485</v>
      </c>
    </row>
    <row r="252" spans="1:7" ht="15.5" x14ac:dyDescent="0.35">
      <c r="A252" s="3">
        <v>44831</v>
      </c>
      <c r="B252" s="4" t="s">
        <v>7</v>
      </c>
      <c r="C252" s="4" t="s">
        <v>16</v>
      </c>
      <c r="D252" s="4" t="s">
        <v>21</v>
      </c>
      <c r="E252" s="4">
        <v>49500</v>
      </c>
      <c r="F252" s="4">
        <v>26</v>
      </c>
      <c r="G252" s="5">
        <f t="shared" si="3"/>
        <v>1287000</v>
      </c>
    </row>
    <row r="253" spans="1:7" ht="15.5" x14ac:dyDescent="0.35">
      <c r="A253" s="6">
        <v>44835</v>
      </c>
      <c r="B253" s="7" t="s">
        <v>10</v>
      </c>
      <c r="C253" s="7" t="s">
        <v>13</v>
      </c>
      <c r="D253" s="7" t="s">
        <v>21</v>
      </c>
      <c r="E253" s="7">
        <v>960</v>
      </c>
      <c r="F253" s="7">
        <v>16</v>
      </c>
      <c r="G253" s="8">
        <f t="shared" si="3"/>
        <v>15360</v>
      </c>
    </row>
    <row r="254" spans="1:7" ht="15.5" x14ac:dyDescent="0.35">
      <c r="A254" s="3">
        <v>44839</v>
      </c>
      <c r="B254" s="4" t="s">
        <v>12</v>
      </c>
      <c r="C254" s="4" t="s">
        <v>8</v>
      </c>
      <c r="D254" s="4" t="s">
        <v>18</v>
      </c>
      <c r="E254" s="4">
        <v>5599</v>
      </c>
      <c r="F254" s="4">
        <v>35</v>
      </c>
      <c r="G254" s="5">
        <f t="shared" si="3"/>
        <v>195965</v>
      </c>
    </row>
    <row r="255" spans="1:7" ht="15.5" x14ac:dyDescent="0.35">
      <c r="A255" s="6">
        <v>44843</v>
      </c>
      <c r="B255" s="7" t="s">
        <v>15</v>
      </c>
      <c r="C255" s="7" t="s">
        <v>17</v>
      </c>
      <c r="D255" s="7" t="s">
        <v>9</v>
      </c>
      <c r="E255" s="7">
        <v>89</v>
      </c>
      <c r="F255" s="7">
        <v>36</v>
      </c>
      <c r="G255" s="8">
        <f t="shared" si="3"/>
        <v>3204</v>
      </c>
    </row>
    <row r="256" spans="1:7" ht="15.5" x14ac:dyDescent="0.35">
      <c r="A256" s="3">
        <v>44847</v>
      </c>
      <c r="B256" s="4" t="s">
        <v>7</v>
      </c>
      <c r="C256" s="4" t="s">
        <v>8</v>
      </c>
      <c r="D256" s="4" t="s">
        <v>24</v>
      </c>
      <c r="E256" s="4">
        <v>2550</v>
      </c>
      <c r="F256" s="4">
        <v>20</v>
      </c>
      <c r="G256" s="5">
        <f t="shared" si="3"/>
        <v>51000</v>
      </c>
    </row>
    <row r="257" spans="1:7" ht="15.5" x14ac:dyDescent="0.35">
      <c r="A257" s="6">
        <v>44851</v>
      </c>
      <c r="B257" s="7" t="s">
        <v>12</v>
      </c>
      <c r="C257" s="7" t="s">
        <v>16</v>
      </c>
      <c r="D257" s="7" t="s">
        <v>9</v>
      </c>
      <c r="E257" s="7">
        <v>14500</v>
      </c>
      <c r="F257" s="7">
        <v>47</v>
      </c>
      <c r="G257" s="8">
        <f t="shared" si="3"/>
        <v>681500</v>
      </c>
    </row>
    <row r="258" spans="1:7" ht="15.5" x14ac:dyDescent="0.35">
      <c r="A258" s="3">
        <v>44855</v>
      </c>
      <c r="B258" s="4" t="s">
        <v>23</v>
      </c>
      <c r="C258" s="4" t="s">
        <v>22</v>
      </c>
      <c r="D258" s="4" t="s">
        <v>18</v>
      </c>
      <c r="E258" s="4">
        <v>2900</v>
      </c>
      <c r="F258" s="4">
        <v>6</v>
      </c>
      <c r="G258" s="5">
        <f t="shared" si="3"/>
        <v>17400</v>
      </c>
    </row>
    <row r="259" spans="1:7" ht="15.5" x14ac:dyDescent="0.35">
      <c r="A259" s="6">
        <v>44859</v>
      </c>
      <c r="B259" s="7" t="s">
        <v>15</v>
      </c>
      <c r="C259" s="7" t="s">
        <v>17</v>
      </c>
      <c r="D259" s="7" t="s">
        <v>21</v>
      </c>
      <c r="E259" s="7">
        <v>120</v>
      </c>
      <c r="F259" s="7">
        <v>6</v>
      </c>
      <c r="G259" s="8">
        <f t="shared" ref="G259:G279" si="4">E259*F259</f>
        <v>720</v>
      </c>
    </row>
    <row r="260" spans="1:7" ht="15.5" x14ac:dyDescent="0.35">
      <c r="A260" s="3">
        <v>44863</v>
      </c>
      <c r="B260" s="4" t="s">
        <v>19</v>
      </c>
      <c r="C260" s="4" t="s">
        <v>16</v>
      </c>
      <c r="D260" s="4" t="s">
        <v>14</v>
      </c>
      <c r="E260" s="4">
        <v>52000</v>
      </c>
      <c r="F260" s="4">
        <v>41</v>
      </c>
      <c r="G260" s="5">
        <f t="shared" si="4"/>
        <v>2132000</v>
      </c>
    </row>
    <row r="261" spans="1:7" ht="15.5" x14ac:dyDescent="0.35">
      <c r="A261" s="6">
        <v>44867</v>
      </c>
      <c r="B261" s="7" t="s">
        <v>10</v>
      </c>
      <c r="C261" s="7" t="s">
        <v>22</v>
      </c>
      <c r="D261" s="7" t="s">
        <v>11</v>
      </c>
      <c r="E261" s="7">
        <v>590</v>
      </c>
      <c r="F261" s="7">
        <v>29</v>
      </c>
      <c r="G261" s="8">
        <f t="shared" si="4"/>
        <v>17110</v>
      </c>
    </row>
    <row r="262" spans="1:7" ht="15.5" x14ac:dyDescent="0.35">
      <c r="A262" s="3">
        <v>44871</v>
      </c>
      <c r="B262" s="4" t="s">
        <v>19</v>
      </c>
      <c r="C262" s="4" t="s">
        <v>13</v>
      </c>
      <c r="D262" s="4" t="s">
        <v>21</v>
      </c>
      <c r="E262" s="4">
        <v>7999</v>
      </c>
      <c r="F262" s="4">
        <v>31</v>
      </c>
      <c r="G262" s="5">
        <f t="shared" si="4"/>
        <v>247969</v>
      </c>
    </row>
    <row r="263" spans="1:7" ht="15.5" x14ac:dyDescent="0.35">
      <c r="A263" s="6">
        <v>44875</v>
      </c>
      <c r="B263" s="7" t="s">
        <v>12</v>
      </c>
      <c r="C263" s="7" t="s">
        <v>17</v>
      </c>
      <c r="D263" s="7" t="s">
        <v>11</v>
      </c>
      <c r="E263" s="7">
        <v>999</v>
      </c>
      <c r="F263" s="7">
        <v>34</v>
      </c>
      <c r="G263" s="8">
        <f t="shared" si="4"/>
        <v>33966</v>
      </c>
    </row>
    <row r="264" spans="1:7" ht="15.5" x14ac:dyDescent="0.35">
      <c r="A264" s="3">
        <v>44879</v>
      </c>
      <c r="B264" s="4" t="s">
        <v>23</v>
      </c>
      <c r="C264" s="4" t="s">
        <v>16</v>
      </c>
      <c r="D264" s="4" t="s">
        <v>14</v>
      </c>
      <c r="E264" s="4">
        <v>990</v>
      </c>
      <c r="F264" s="4">
        <v>43</v>
      </c>
      <c r="G264" s="5">
        <f t="shared" si="4"/>
        <v>42570</v>
      </c>
    </row>
    <row r="265" spans="1:7" ht="15.5" x14ac:dyDescent="0.35">
      <c r="A265" s="6">
        <v>44883</v>
      </c>
      <c r="B265" s="7" t="s">
        <v>12</v>
      </c>
      <c r="C265" s="7" t="s">
        <v>20</v>
      </c>
      <c r="D265" s="7" t="s">
        <v>9</v>
      </c>
      <c r="E265" s="7">
        <v>11999</v>
      </c>
      <c r="F265" s="7">
        <v>37</v>
      </c>
      <c r="G265" s="8">
        <f t="shared" si="4"/>
        <v>443963</v>
      </c>
    </row>
    <row r="266" spans="1:7" ht="15.5" x14ac:dyDescent="0.35">
      <c r="A266" s="3">
        <v>44887</v>
      </c>
      <c r="B266" s="4" t="s">
        <v>10</v>
      </c>
      <c r="C266" s="4" t="s">
        <v>13</v>
      </c>
      <c r="D266" s="4" t="s">
        <v>9</v>
      </c>
      <c r="E266" s="4">
        <v>960</v>
      </c>
      <c r="F266" s="4">
        <v>7</v>
      </c>
      <c r="G266" s="5">
        <f t="shared" si="4"/>
        <v>6720</v>
      </c>
    </row>
    <row r="267" spans="1:7" ht="15.5" x14ac:dyDescent="0.35">
      <c r="A267" s="6">
        <v>44891</v>
      </c>
      <c r="B267" s="7" t="s">
        <v>7</v>
      </c>
      <c r="C267" s="7" t="s">
        <v>8</v>
      </c>
      <c r="D267" s="7" t="s">
        <v>14</v>
      </c>
      <c r="E267" s="7">
        <v>1450</v>
      </c>
      <c r="F267" s="7">
        <v>19</v>
      </c>
      <c r="G267" s="8">
        <f t="shared" si="4"/>
        <v>27550</v>
      </c>
    </row>
    <row r="268" spans="1:7" ht="15.5" x14ac:dyDescent="0.35">
      <c r="A268" s="3">
        <v>44895</v>
      </c>
      <c r="B268" s="4" t="s">
        <v>23</v>
      </c>
      <c r="C268" s="4" t="s">
        <v>22</v>
      </c>
      <c r="D268" s="4" t="s">
        <v>11</v>
      </c>
      <c r="E268" s="4">
        <v>450</v>
      </c>
      <c r="F268" s="4">
        <v>47</v>
      </c>
      <c r="G268" s="5">
        <f t="shared" si="4"/>
        <v>21150</v>
      </c>
    </row>
    <row r="269" spans="1:7" ht="15.5" x14ac:dyDescent="0.35">
      <c r="A269" s="6">
        <v>44899</v>
      </c>
      <c r="B269" s="7" t="s">
        <v>12</v>
      </c>
      <c r="C269" s="7" t="s">
        <v>16</v>
      </c>
      <c r="D269" s="7" t="s">
        <v>11</v>
      </c>
      <c r="E269" s="7">
        <v>1499</v>
      </c>
      <c r="F269" s="7">
        <v>37</v>
      </c>
      <c r="G269" s="8">
        <f t="shared" si="4"/>
        <v>55463</v>
      </c>
    </row>
    <row r="270" spans="1:7" ht="15.5" x14ac:dyDescent="0.35">
      <c r="A270" s="3">
        <v>44903</v>
      </c>
      <c r="B270" s="4" t="s">
        <v>19</v>
      </c>
      <c r="C270" s="4" t="s">
        <v>20</v>
      </c>
      <c r="D270" s="4" t="s">
        <v>11</v>
      </c>
      <c r="E270" s="4">
        <v>79999</v>
      </c>
      <c r="F270" s="4">
        <v>4</v>
      </c>
      <c r="G270" s="5">
        <f t="shared" si="4"/>
        <v>319996</v>
      </c>
    </row>
    <row r="271" spans="1:7" ht="15.5" x14ac:dyDescent="0.35">
      <c r="A271" s="6">
        <v>44907</v>
      </c>
      <c r="B271" s="7" t="s">
        <v>12</v>
      </c>
      <c r="C271" s="7" t="s">
        <v>17</v>
      </c>
      <c r="D271" s="7" t="s">
        <v>21</v>
      </c>
      <c r="E271" s="7">
        <v>999</v>
      </c>
      <c r="F271" s="7">
        <v>45</v>
      </c>
      <c r="G271" s="8">
        <f t="shared" si="4"/>
        <v>44955</v>
      </c>
    </row>
    <row r="272" spans="1:7" ht="15.5" x14ac:dyDescent="0.35">
      <c r="A272" s="3">
        <v>44911</v>
      </c>
      <c r="B272" s="4" t="s">
        <v>19</v>
      </c>
      <c r="C272" s="4" t="s">
        <v>20</v>
      </c>
      <c r="D272" s="4" t="s">
        <v>9</v>
      </c>
      <c r="E272" s="4">
        <v>52000</v>
      </c>
      <c r="F272" s="4">
        <v>15</v>
      </c>
      <c r="G272" s="5">
        <f t="shared" si="4"/>
        <v>780000</v>
      </c>
    </row>
    <row r="273" spans="1:7" ht="15.5" x14ac:dyDescent="0.35">
      <c r="A273" s="6">
        <v>44915</v>
      </c>
      <c r="B273" s="7" t="s">
        <v>10</v>
      </c>
      <c r="C273" s="7" t="s">
        <v>20</v>
      </c>
      <c r="D273" s="7" t="s">
        <v>18</v>
      </c>
      <c r="E273" s="7">
        <v>52000</v>
      </c>
      <c r="F273" s="7">
        <v>39</v>
      </c>
      <c r="G273" s="8">
        <f t="shared" si="4"/>
        <v>2028000</v>
      </c>
    </row>
    <row r="274" spans="1:7" ht="15.5" x14ac:dyDescent="0.35">
      <c r="A274" s="3">
        <v>44919</v>
      </c>
      <c r="B274" s="4" t="s">
        <v>12</v>
      </c>
      <c r="C274" s="4" t="s">
        <v>13</v>
      </c>
      <c r="D274" s="4" t="s">
        <v>18</v>
      </c>
      <c r="E274" s="4">
        <v>960</v>
      </c>
      <c r="F274" s="4">
        <v>33</v>
      </c>
      <c r="G274" s="5">
        <f t="shared" si="4"/>
        <v>31680</v>
      </c>
    </row>
    <row r="275" spans="1:7" ht="15.5" x14ac:dyDescent="0.35">
      <c r="A275" s="9">
        <v>44923</v>
      </c>
      <c r="B275" s="10" t="s">
        <v>19</v>
      </c>
      <c r="C275" s="10" t="s">
        <v>13</v>
      </c>
      <c r="D275" s="10" t="s">
        <v>14</v>
      </c>
      <c r="E275" s="10">
        <v>1450</v>
      </c>
      <c r="F275" s="10">
        <v>34</v>
      </c>
      <c r="G275" s="11">
        <f t="shared" si="4"/>
        <v>49300</v>
      </c>
    </row>
    <row r="276" spans="1:7" ht="15.5" x14ac:dyDescent="0.35">
      <c r="A276" s="3">
        <v>44913</v>
      </c>
      <c r="B276" s="4" t="s">
        <v>23</v>
      </c>
      <c r="C276" s="4" t="s">
        <v>22</v>
      </c>
      <c r="D276" s="4" t="s">
        <v>24</v>
      </c>
      <c r="E276" s="4">
        <v>2500</v>
      </c>
      <c r="F276" s="4">
        <v>100</v>
      </c>
      <c r="G276" s="5">
        <f t="shared" si="4"/>
        <v>250000</v>
      </c>
    </row>
    <row r="277" spans="1:7" ht="15.5" x14ac:dyDescent="0.35">
      <c r="A277" s="6">
        <v>44917</v>
      </c>
      <c r="B277" s="7" t="s">
        <v>10</v>
      </c>
      <c r="C277" s="7" t="s">
        <v>16</v>
      </c>
      <c r="D277" s="7" t="s">
        <v>24</v>
      </c>
      <c r="E277" s="7">
        <v>86540</v>
      </c>
      <c r="F277" s="7">
        <v>6</v>
      </c>
      <c r="G277" s="8">
        <f t="shared" si="4"/>
        <v>519240</v>
      </c>
    </row>
    <row r="278" spans="1:7" ht="15.5" x14ac:dyDescent="0.35">
      <c r="A278" s="3">
        <v>44922</v>
      </c>
      <c r="B278" s="4" t="s">
        <v>15</v>
      </c>
      <c r="C278" s="4" t="s">
        <v>17</v>
      </c>
      <c r="D278" s="4" t="s">
        <v>24</v>
      </c>
      <c r="E278" s="4">
        <v>550</v>
      </c>
      <c r="F278" s="4">
        <v>44</v>
      </c>
      <c r="G278" s="5">
        <f t="shared" si="4"/>
        <v>24200</v>
      </c>
    </row>
    <row r="279" spans="1:7" ht="15.5" x14ac:dyDescent="0.35">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zoomScale="68" zoomScaleNormal="40"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E97"/>
  <sheetViews>
    <sheetView topLeftCell="A65" workbookViewId="0">
      <selection activeCell="B74" sqref="B74"/>
    </sheetView>
  </sheetViews>
  <sheetFormatPr defaultRowHeight="14" x14ac:dyDescent="0.3"/>
  <cols>
    <col min="1" max="1" width="11.75" bestFit="1" customWidth="1"/>
    <col min="2" max="2" width="10.5" bestFit="1" customWidth="1"/>
    <col min="3" max="3" width="14.83203125" customWidth="1"/>
  </cols>
  <sheetData>
    <row r="1" spans="1:2" x14ac:dyDescent="0.3">
      <c r="A1" s="12" t="s">
        <v>25</v>
      </c>
      <c r="B1" t="s">
        <v>28</v>
      </c>
    </row>
    <row r="2" spans="1:2" x14ac:dyDescent="0.3">
      <c r="A2" s="14" t="s">
        <v>27</v>
      </c>
      <c r="B2" s="15">
        <v>11587825</v>
      </c>
    </row>
    <row r="3" spans="1:2" x14ac:dyDescent="0.3">
      <c r="A3" s="14" t="s">
        <v>29</v>
      </c>
      <c r="B3" s="15">
        <v>9933052</v>
      </c>
    </row>
    <row r="4" spans="1:2" x14ac:dyDescent="0.3">
      <c r="A4" s="14" t="s">
        <v>30</v>
      </c>
      <c r="B4" s="15">
        <v>5651655</v>
      </c>
    </row>
    <row r="5" spans="1:2" x14ac:dyDescent="0.3">
      <c r="A5" s="14" t="s">
        <v>31</v>
      </c>
      <c r="B5" s="15">
        <v>2588013</v>
      </c>
    </row>
    <row r="6" spans="1:2" x14ac:dyDescent="0.3">
      <c r="A6" s="14" t="s">
        <v>32</v>
      </c>
      <c r="B6" s="15">
        <v>8435834</v>
      </c>
    </row>
    <row r="7" spans="1:2" x14ac:dyDescent="0.3">
      <c r="A7" s="14" t="s">
        <v>33</v>
      </c>
      <c r="B7" s="15">
        <v>3751547</v>
      </c>
    </row>
    <row r="8" spans="1:2" x14ac:dyDescent="0.3">
      <c r="A8" s="14" t="s">
        <v>34</v>
      </c>
      <c r="B8" s="15">
        <v>18122063</v>
      </c>
    </row>
    <row r="9" spans="1:2" x14ac:dyDescent="0.3">
      <c r="A9" s="14" t="s">
        <v>35</v>
      </c>
      <c r="B9" s="15">
        <v>10988474</v>
      </c>
    </row>
    <row r="10" spans="1:2" x14ac:dyDescent="0.3">
      <c r="A10" s="14" t="s">
        <v>36</v>
      </c>
      <c r="B10" s="15">
        <v>13532478</v>
      </c>
    </row>
    <row r="11" spans="1:2" x14ac:dyDescent="0.3">
      <c r="A11" s="14" t="s">
        <v>37</v>
      </c>
      <c r="B11" s="15">
        <v>16467945</v>
      </c>
    </row>
    <row r="12" spans="1:2" x14ac:dyDescent="0.3">
      <c r="A12" s="14" t="s">
        <v>38</v>
      </c>
      <c r="B12" s="15">
        <v>5605463</v>
      </c>
    </row>
    <row r="13" spans="1:2" x14ac:dyDescent="0.3">
      <c r="A13" s="14" t="s">
        <v>39</v>
      </c>
      <c r="B13" s="15">
        <v>12067544</v>
      </c>
    </row>
    <row r="14" spans="1:2" x14ac:dyDescent="0.3">
      <c r="A14" s="14" t="s">
        <v>26</v>
      </c>
      <c r="B14" s="15">
        <v>118731893</v>
      </c>
    </row>
    <row r="17" spans="1:3" x14ac:dyDescent="0.3">
      <c r="A17" s="12" t="s">
        <v>25</v>
      </c>
      <c r="B17" t="s">
        <v>28</v>
      </c>
      <c r="C17" s="12"/>
    </row>
    <row r="18" spans="1:3" x14ac:dyDescent="0.3">
      <c r="A18" s="13" t="s">
        <v>14</v>
      </c>
      <c r="B18" s="18">
        <v>0.13520112073004681</v>
      </c>
    </row>
    <row r="19" spans="1:3" x14ac:dyDescent="0.3">
      <c r="A19" s="13" t="s">
        <v>21</v>
      </c>
      <c r="B19" s="18">
        <v>0.14255913531168918</v>
      </c>
    </row>
    <row r="20" spans="1:3" x14ac:dyDescent="0.3">
      <c r="A20" s="13" t="s">
        <v>9</v>
      </c>
      <c r="B20" s="18">
        <v>0.16153632790138367</v>
      </c>
    </row>
    <row r="21" spans="1:3" x14ac:dyDescent="0.3">
      <c r="A21" s="13" t="s">
        <v>24</v>
      </c>
      <c r="B21" s="18">
        <v>8.7915788557333965E-2</v>
      </c>
    </row>
    <row r="22" spans="1:3" x14ac:dyDescent="0.3">
      <c r="A22" s="13" t="s">
        <v>18</v>
      </c>
      <c r="B22" s="18">
        <v>0.34577799580774815</v>
      </c>
    </row>
    <row r="23" spans="1:3" x14ac:dyDescent="0.3">
      <c r="A23" s="13" t="s">
        <v>11</v>
      </c>
      <c r="B23" s="18">
        <v>0.12700963169179827</v>
      </c>
    </row>
    <row r="24" spans="1:3" x14ac:dyDescent="0.3">
      <c r="A24" s="13" t="s">
        <v>26</v>
      </c>
      <c r="B24" s="18">
        <v>1</v>
      </c>
    </row>
    <row r="27" spans="1:3" x14ac:dyDescent="0.3">
      <c r="A27" s="12" t="s">
        <v>25</v>
      </c>
      <c r="B27" t="s">
        <v>28</v>
      </c>
      <c r="C27" s="12"/>
    </row>
    <row r="28" spans="1:3" x14ac:dyDescent="0.3">
      <c r="A28" s="13" t="s">
        <v>16</v>
      </c>
      <c r="B28" s="18">
        <v>0.39442202778658636</v>
      </c>
    </row>
    <row r="29" spans="1:3" x14ac:dyDescent="0.3">
      <c r="A29" s="13" t="s">
        <v>8</v>
      </c>
      <c r="B29" s="18">
        <v>4.4333858974184806E-2</v>
      </c>
    </row>
    <row r="30" spans="1:3" x14ac:dyDescent="0.3">
      <c r="A30" s="13" t="s">
        <v>20</v>
      </c>
      <c r="B30" s="18">
        <v>0.41026059443017554</v>
      </c>
    </row>
    <row r="31" spans="1:3" x14ac:dyDescent="0.3">
      <c r="A31" s="13" t="s">
        <v>13</v>
      </c>
      <c r="B31" s="18">
        <v>2.9676432430838107E-2</v>
      </c>
    </row>
    <row r="32" spans="1:3" x14ac:dyDescent="0.3">
      <c r="A32" s="13" t="s">
        <v>17</v>
      </c>
      <c r="B32" s="18">
        <v>8.7710746766245865E-2</v>
      </c>
    </row>
    <row r="33" spans="1:5" x14ac:dyDescent="0.3">
      <c r="A33" s="13" t="s">
        <v>22</v>
      </c>
      <c r="B33" s="18">
        <v>3.3596339611969298E-2</v>
      </c>
    </row>
    <row r="34" spans="1:5" x14ac:dyDescent="0.3">
      <c r="A34" s="13" t="s">
        <v>26</v>
      </c>
      <c r="B34" s="18">
        <v>1</v>
      </c>
    </row>
    <row r="37" spans="1:5" x14ac:dyDescent="0.3">
      <c r="A37" t="s">
        <v>28</v>
      </c>
      <c r="E37" s="16"/>
    </row>
    <row r="38" spans="1:5" x14ac:dyDescent="0.3">
      <c r="A38" s="15">
        <v>118731893</v>
      </c>
      <c r="C38" s="17">
        <f>A38</f>
        <v>118731893</v>
      </c>
    </row>
    <row r="40" spans="1:5" x14ac:dyDescent="0.3">
      <c r="A40" t="s">
        <v>40</v>
      </c>
    </row>
    <row r="41" spans="1:5" x14ac:dyDescent="0.3">
      <c r="A41" s="15">
        <v>278</v>
      </c>
      <c r="C41">
        <f>A41</f>
        <v>278</v>
      </c>
    </row>
    <row r="44" spans="1:5" x14ac:dyDescent="0.3">
      <c r="A44" s="12" t="s">
        <v>25</v>
      </c>
      <c r="B44" t="s">
        <v>41</v>
      </c>
      <c r="C44" s="12"/>
      <c r="D44" s="12"/>
      <c r="E44" s="12"/>
    </row>
    <row r="45" spans="1:5" x14ac:dyDescent="0.3">
      <c r="A45" s="13" t="s">
        <v>22</v>
      </c>
      <c r="B45" s="15">
        <v>1457</v>
      </c>
    </row>
    <row r="46" spans="1:5" x14ac:dyDescent="0.3">
      <c r="A46" s="13" t="s">
        <v>16</v>
      </c>
      <c r="B46" s="15">
        <v>1503</v>
      </c>
    </row>
    <row r="47" spans="1:5" x14ac:dyDescent="0.3">
      <c r="A47" s="13" t="s">
        <v>20</v>
      </c>
      <c r="B47" s="15">
        <v>1615</v>
      </c>
    </row>
    <row r="48" spans="1:5" x14ac:dyDescent="0.3">
      <c r="A48" s="13" t="s">
        <v>26</v>
      </c>
      <c r="B48" s="15">
        <v>4575</v>
      </c>
    </row>
    <row r="51" spans="1:2" x14ac:dyDescent="0.3">
      <c r="A51" s="12" t="s">
        <v>25</v>
      </c>
      <c r="B51" t="s">
        <v>41</v>
      </c>
    </row>
    <row r="52" spans="1:2" x14ac:dyDescent="0.3">
      <c r="A52" s="13" t="s">
        <v>8</v>
      </c>
      <c r="B52" s="15">
        <v>1233</v>
      </c>
    </row>
    <row r="53" spans="1:2" x14ac:dyDescent="0.3">
      <c r="A53" s="13" t="s">
        <v>17</v>
      </c>
      <c r="B53" s="15">
        <v>1168</v>
      </c>
    </row>
    <row r="54" spans="1:2" x14ac:dyDescent="0.3">
      <c r="A54" s="13" t="s">
        <v>13</v>
      </c>
      <c r="B54" s="15">
        <v>694</v>
      </c>
    </row>
    <row r="55" spans="1:2" x14ac:dyDescent="0.3">
      <c r="A55" s="13" t="s">
        <v>26</v>
      </c>
      <c r="B55" s="15">
        <v>3095</v>
      </c>
    </row>
    <row r="60" spans="1:2" x14ac:dyDescent="0.3">
      <c r="A60" s="12" t="s">
        <v>25</v>
      </c>
      <c r="B60" t="s">
        <v>41</v>
      </c>
    </row>
    <row r="61" spans="1:2" x14ac:dyDescent="0.3">
      <c r="A61" s="13" t="s">
        <v>16</v>
      </c>
      <c r="B61" s="15">
        <v>1503</v>
      </c>
    </row>
    <row r="62" spans="1:2" x14ac:dyDescent="0.3">
      <c r="A62" s="13" t="s">
        <v>8</v>
      </c>
      <c r="B62" s="15">
        <v>1233</v>
      </c>
    </row>
    <row r="63" spans="1:2" x14ac:dyDescent="0.3">
      <c r="A63" s="13" t="s">
        <v>20</v>
      </c>
      <c r="B63" s="15">
        <v>1615</v>
      </c>
    </row>
    <row r="64" spans="1:2" x14ac:dyDescent="0.3">
      <c r="A64" s="13" t="s">
        <v>13</v>
      </c>
      <c r="B64" s="15">
        <v>694</v>
      </c>
    </row>
    <row r="65" spans="1:2" x14ac:dyDescent="0.3">
      <c r="A65" s="13" t="s">
        <v>17</v>
      </c>
      <c r="B65" s="15">
        <v>1168</v>
      </c>
    </row>
    <row r="66" spans="1:2" x14ac:dyDescent="0.3">
      <c r="A66" s="13" t="s">
        <v>22</v>
      </c>
      <c r="B66" s="15">
        <v>1457</v>
      </c>
    </row>
    <row r="67" spans="1:2" x14ac:dyDescent="0.3">
      <c r="A67" s="13" t="s">
        <v>26</v>
      </c>
      <c r="B67" s="15">
        <v>7670</v>
      </c>
    </row>
    <row r="73" spans="1:2" x14ac:dyDescent="0.3">
      <c r="A73" s="12" t="s">
        <v>25</v>
      </c>
      <c r="B73" t="s">
        <v>41</v>
      </c>
    </row>
    <row r="74" spans="1:2" x14ac:dyDescent="0.3">
      <c r="A74" s="13" t="s">
        <v>10</v>
      </c>
      <c r="B74" s="15">
        <v>1407</v>
      </c>
    </row>
    <row r="75" spans="1:2" x14ac:dyDescent="0.3">
      <c r="A75" s="13" t="s">
        <v>12</v>
      </c>
      <c r="B75" s="15">
        <v>1534</v>
      </c>
    </row>
    <row r="76" spans="1:2" x14ac:dyDescent="0.3">
      <c r="A76" s="13" t="s">
        <v>19</v>
      </c>
      <c r="B76" s="15">
        <v>1687</v>
      </c>
    </row>
    <row r="77" spans="1:2" x14ac:dyDescent="0.3">
      <c r="A77" s="13" t="s">
        <v>26</v>
      </c>
      <c r="B77" s="15">
        <v>4628</v>
      </c>
    </row>
    <row r="81" spans="1:2" x14ac:dyDescent="0.3">
      <c r="A81" s="12" t="s">
        <v>25</v>
      </c>
      <c r="B81" t="s">
        <v>41</v>
      </c>
    </row>
    <row r="82" spans="1:2" x14ac:dyDescent="0.3">
      <c r="A82" s="13" t="s">
        <v>23</v>
      </c>
      <c r="B82" s="15">
        <v>1285</v>
      </c>
    </row>
    <row r="83" spans="1:2" x14ac:dyDescent="0.3">
      <c r="A83" s="13" t="s">
        <v>7</v>
      </c>
      <c r="B83" s="15">
        <v>947</v>
      </c>
    </row>
    <row r="84" spans="1:2" x14ac:dyDescent="0.3">
      <c r="A84" s="13" t="s">
        <v>15</v>
      </c>
      <c r="B84" s="15">
        <v>810</v>
      </c>
    </row>
    <row r="85" spans="1:2" x14ac:dyDescent="0.3">
      <c r="A85" s="13" t="s">
        <v>26</v>
      </c>
      <c r="B85" s="15">
        <v>3042</v>
      </c>
    </row>
    <row r="90" spans="1:2" x14ac:dyDescent="0.3">
      <c r="A90" s="12" t="s">
        <v>25</v>
      </c>
      <c r="B90" t="s">
        <v>41</v>
      </c>
    </row>
    <row r="91" spans="1:2" x14ac:dyDescent="0.3">
      <c r="A91" s="13" t="s">
        <v>19</v>
      </c>
      <c r="B91" s="15">
        <v>1687</v>
      </c>
    </row>
    <row r="92" spans="1:2" x14ac:dyDescent="0.3">
      <c r="A92" s="13" t="s">
        <v>12</v>
      </c>
      <c r="B92" s="15">
        <v>1534</v>
      </c>
    </row>
    <row r="93" spans="1:2" x14ac:dyDescent="0.3">
      <c r="A93" s="13" t="s">
        <v>10</v>
      </c>
      <c r="B93" s="15">
        <v>1407</v>
      </c>
    </row>
    <row r="94" spans="1:2" x14ac:dyDescent="0.3">
      <c r="A94" s="13" t="s">
        <v>15</v>
      </c>
      <c r="B94" s="15">
        <v>810</v>
      </c>
    </row>
    <row r="95" spans="1:2" x14ac:dyDescent="0.3">
      <c r="A95" s="13" t="s">
        <v>23</v>
      </c>
      <c r="B95" s="15">
        <v>1285</v>
      </c>
    </row>
    <row r="96" spans="1:2" x14ac:dyDescent="0.3">
      <c r="A96" s="13" t="s">
        <v>7</v>
      </c>
      <c r="B96" s="15">
        <v>947</v>
      </c>
    </row>
    <row r="97" spans="1:2" x14ac:dyDescent="0.3">
      <c r="A97" s="13" t="s">
        <v>26</v>
      </c>
      <c r="B97" s="15">
        <v>7670</v>
      </c>
    </row>
  </sheetData>
  <pageMargins left="0.7" right="0.7" top="0.75" bottom="0.75" header="0.3" footer="0.3"/>
  <pageSetup fitToWidth="0" fitToHeight="0"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EB4B-FCF3-458F-A404-99C9DF0FCF8E}">
  <dimension ref="A1"/>
  <sheetViews>
    <sheetView zoomScale="68" zoomScaleNormal="40"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9274-4249-45AE-930E-233A64665A0A}">
  <dimension ref="A1"/>
  <sheetViews>
    <sheetView zoomScale="68" zoomScaleNormal="85"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3668-8401-4B09-B784-F8C94C1B02DC}">
  <dimension ref="A1"/>
  <sheetViews>
    <sheetView tabSelected="1" zoomScale="68" zoomScaleNormal="40" workbookViewId="0"/>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Pivots</vt:lpstr>
      <vt:lpstr>Product menu</vt:lpstr>
      <vt:lpstr>Sales Mans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USER</cp:lastModifiedBy>
  <dcterms:created xsi:type="dcterms:W3CDTF">2025-01-28T12:35:12Z</dcterms:created>
  <dcterms:modified xsi:type="dcterms:W3CDTF">2025-12-09T16:33:38Z</dcterms:modified>
</cp:coreProperties>
</file>